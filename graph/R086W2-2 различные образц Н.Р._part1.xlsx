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Py_Proj\AutoGraph\graph\"/>
    </mc:Choice>
  </mc:AlternateContent>
  <xr:revisionPtr revIDLastSave="0" documentId="13_ncr:1_{F9627950-54D6-483E-8D35-5C2E0EE310F4}" xr6:coauthVersionLast="47" xr6:coauthVersionMax="47" xr10:uidLastSave="{00000000-0000-0000-0000-000000000000}"/>
  <bookViews>
    <workbookView xWindow="-28410" yWindow="2805" windowWidth="21600" windowHeight="14595" tabRatio="754" xr2:uid="{00000000-000D-0000-FFFF-FFFF00000000}"/>
  </bookViews>
  <sheets>
    <sheet name="Графики" sheetId="1" r:id="rId1"/>
    <sheet name="№1" sheetId="2" r:id="rId2"/>
    <sheet name="NiPA-62-F_UG_1__2026-03-24_11-4" sheetId="3" r:id="rId3"/>
  </sheets>
  <calcPr calcId="191029"/>
</workbook>
</file>

<file path=xl/calcChain.xml><?xml version="1.0" encoding="utf-8"?>
<calcChain xmlns="http://schemas.openxmlformats.org/spreadsheetml/2006/main">
  <c r="N17" i="3" l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L14" i="3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13" i="3"/>
  <c r="K13" i="3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M12" i="3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L12" i="3"/>
  <c r="K12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N11" i="3"/>
  <c r="N12" i="3" s="1"/>
  <c r="N13" i="3" s="1"/>
  <c r="N14" i="3" s="1"/>
  <c r="N15" i="3" s="1"/>
  <c r="N16" i="3" s="1"/>
  <c r="U10" i="3"/>
  <c r="T10" i="3"/>
  <c r="S10" i="3"/>
  <c r="R10" i="3"/>
  <c r="Q10" i="3"/>
  <c r="P10" i="3"/>
  <c r="S96" i="2"/>
  <c r="AI91" i="1" s="1"/>
  <c r="P96" i="2"/>
  <c r="U96" i="2" s="1"/>
  <c r="U95" i="2"/>
  <c r="C90" i="1" s="1"/>
  <c r="S95" i="2"/>
  <c r="AI90" i="1" s="1"/>
  <c r="P95" i="2"/>
  <c r="S94" i="2"/>
  <c r="AI89" i="1" s="1"/>
  <c r="P94" i="2"/>
  <c r="U94" i="2" s="1"/>
  <c r="U93" i="2"/>
  <c r="S93" i="2"/>
  <c r="P93" i="2"/>
  <c r="U92" i="2"/>
  <c r="S92" i="2"/>
  <c r="P92" i="2"/>
  <c r="S91" i="2"/>
  <c r="P91" i="2"/>
  <c r="U91" i="2" s="1"/>
  <c r="U90" i="2"/>
  <c r="S90" i="2"/>
  <c r="P90" i="2"/>
  <c r="U89" i="2"/>
  <c r="S89" i="2"/>
  <c r="P89" i="2"/>
  <c r="U88" i="2"/>
  <c r="S88" i="2"/>
  <c r="P88" i="2"/>
  <c r="S87" i="2"/>
  <c r="P87" i="2"/>
  <c r="U87" i="2" s="1"/>
  <c r="U86" i="2"/>
  <c r="S86" i="2"/>
  <c r="P86" i="2"/>
  <c r="U85" i="2"/>
  <c r="S85" i="2"/>
  <c r="AI80" i="1" s="1"/>
  <c r="P85" i="2"/>
  <c r="S84" i="2"/>
  <c r="P84" i="2"/>
  <c r="U84" i="2" s="1"/>
  <c r="U83" i="2"/>
  <c r="S83" i="2"/>
  <c r="P83" i="2"/>
  <c r="U82" i="2"/>
  <c r="S82" i="2"/>
  <c r="P82" i="2"/>
  <c r="S81" i="2"/>
  <c r="P81" i="2"/>
  <c r="U81" i="2" s="1"/>
  <c r="S80" i="2"/>
  <c r="AI75" i="1" s="1"/>
  <c r="P80" i="2"/>
  <c r="U80" i="2" s="1"/>
  <c r="U79" i="2"/>
  <c r="S79" i="2"/>
  <c r="P79" i="2"/>
  <c r="S78" i="2"/>
  <c r="P78" i="2"/>
  <c r="U78" i="2" s="1"/>
  <c r="U77" i="2"/>
  <c r="S77" i="2"/>
  <c r="P77" i="2"/>
  <c r="U76" i="2"/>
  <c r="S76" i="2"/>
  <c r="P76" i="2"/>
  <c r="S75" i="2"/>
  <c r="AI70" i="1" s="1"/>
  <c r="P75" i="2"/>
  <c r="U75" i="2" s="1"/>
  <c r="C70" i="1" s="1"/>
  <c r="U74" i="2"/>
  <c r="S74" i="2"/>
  <c r="P74" i="2"/>
  <c r="S73" i="2"/>
  <c r="P73" i="2"/>
  <c r="U73" i="2" s="1"/>
  <c r="S72" i="2"/>
  <c r="P72" i="2"/>
  <c r="U72" i="2" s="1"/>
  <c r="S71" i="2"/>
  <c r="P71" i="2"/>
  <c r="U71" i="2" s="1"/>
  <c r="U70" i="2"/>
  <c r="S70" i="2"/>
  <c r="P70" i="2"/>
  <c r="U69" i="2"/>
  <c r="S69" i="2"/>
  <c r="AI64" i="1" s="1"/>
  <c r="P69" i="2"/>
  <c r="S68" i="2"/>
  <c r="P68" i="2"/>
  <c r="U68" i="2" s="1"/>
  <c r="U67" i="2"/>
  <c r="S67" i="2"/>
  <c r="P67" i="2"/>
  <c r="U66" i="2"/>
  <c r="S66" i="2"/>
  <c r="P66" i="2"/>
  <c r="S65" i="2"/>
  <c r="P65" i="2"/>
  <c r="U65" i="2" s="1"/>
  <c r="S64" i="2"/>
  <c r="AI59" i="1" s="1"/>
  <c r="P64" i="2"/>
  <c r="U64" i="2" s="1"/>
  <c r="U63" i="2"/>
  <c r="S63" i="2"/>
  <c r="P63" i="2"/>
  <c r="S62" i="2"/>
  <c r="P62" i="2"/>
  <c r="U62" i="2" s="1"/>
  <c r="U61" i="2"/>
  <c r="S61" i="2"/>
  <c r="P61" i="2"/>
  <c r="U60" i="2"/>
  <c r="S60" i="2"/>
  <c r="P60" i="2"/>
  <c r="S59" i="2"/>
  <c r="P59" i="2"/>
  <c r="U59" i="2" s="1"/>
  <c r="U58" i="2"/>
  <c r="S58" i="2"/>
  <c r="P58" i="2"/>
  <c r="S57" i="2"/>
  <c r="P57" i="2"/>
  <c r="U57" i="2" s="1"/>
  <c r="U56" i="2"/>
  <c r="S56" i="2"/>
  <c r="P56" i="2"/>
  <c r="S55" i="2"/>
  <c r="P55" i="2"/>
  <c r="U55" i="2" s="1"/>
  <c r="U54" i="2"/>
  <c r="S54" i="2"/>
  <c r="P54" i="2"/>
  <c r="U53" i="2"/>
  <c r="S53" i="2"/>
  <c r="P53" i="2"/>
  <c r="S52" i="2"/>
  <c r="P52" i="2"/>
  <c r="U52" i="2" s="1"/>
  <c r="U51" i="2"/>
  <c r="S51" i="2"/>
  <c r="P51" i="2"/>
  <c r="U50" i="2"/>
  <c r="S50" i="2"/>
  <c r="P50" i="2"/>
  <c r="S49" i="2"/>
  <c r="P49" i="2"/>
  <c r="U49" i="2" s="1"/>
  <c r="S48" i="2"/>
  <c r="P48" i="2"/>
  <c r="U48" i="2" s="1"/>
  <c r="U47" i="2"/>
  <c r="S47" i="2"/>
  <c r="P47" i="2"/>
  <c r="S46" i="2"/>
  <c r="P46" i="2"/>
  <c r="U46" i="2" s="1"/>
  <c r="U45" i="2"/>
  <c r="S45" i="2"/>
  <c r="P45" i="2"/>
  <c r="U44" i="2"/>
  <c r="S44" i="2"/>
  <c r="P44" i="2"/>
  <c r="S43" i="2"/>
  <c r="AI38" i="1" s="1"/>
  <c r="P43" i="2"/>
  <c r="U43" i="2" s="1"/>
  <c r="U42" i="2"/>
  <c r="S42" i="2"/>
  <c r="P42" i="2"/>
  <c r="S41" i="2"/>
  <c r="P41" i="2"/>
  <c r="K36" i="1" s="1"/>
  <c r="U40" i="2"/>
  <c r="S40" i="2"/>
  <c r="P40" i="2"/>
  <c r="S39" i="2"/>
  <c r="P39" i="2"/>
  <c r="U39" i="2" s="1"/>
  <c r="U38" i="2"/>
  <c r="S38" i="2"/>
  <c r="P38" i="2"/>
  <c r="S37" i="2"/>
  <c r="P37" i="2"/>
  <c r="U37" i="2" s="1"/>
  <c r="S36" i="2"/>
  <c r="P36" i="2"/>
  <c r="U36" i="2" s="1"/>
  <c r="U35" i="2"/>
  <c r="S35" i="2"/>
  <c r="P35" i="2"/>
  <c r="U34" i="2"/>
  <c r="S34" i="2"/>
  <c r="P34" i="2"/>
  <c r="S33" i="2"/>
  <c r="P33" i="2"/>
  <c r="U33" i="2" s="1"/>
  <c r="C28" i="1" s="1"/>
  <c r="S32" i="2"/>
  <c r="P32" i="2"/>
  <c r="U32" i="2" s="1"/>
  <c r="U31" i="2"/>
  <c r="S31" i="2"/>
  <c r="P31" i="2"/>
  <c r="S30" i="2"/>
  <c r="P30" i="2"/>
  <c r="U30" i="2" s="1"/>
  <c r="U29" i="2"/>
  <c r="S29" i="2"/>
  <c r="P29" i="2"/>
  <c r="U28" i="2"/>
  <c r="S28" i="2"/>
  <c r="P28" i="2"/>
  <c r="S27" i="2"/>
  <c r="P27" i="2"/>
  <c r="U27" i="2" s="1"/>
  <c r="U26" i="2"/>
  <c r="S26" i="2"/>
  <c r="P26" i="2"/>
  <c r="S25" i="2"/>
  <c r="P25" i="2"/>
  <c r="U25" i="2" s="1"/>
  <c r="U24" i="2"/>
  <c r="S24" i="2"/>
  <c r="P24" i="2"/>
  <c r="S23" i="2"/>
  <c r="P23" i="2"/>
  <c r="U23" i="2" s="1"/>
  <c r="U22" i="2"/>
  <c r="S22" i="2"/>
  <c r="P22" i="2"/>
  <c r="U21" i="2"/>
  <c r="S21" i="2"/>
  <c r="P21" i="2"/>
  <c r="S20" i="2"/>
  <c r="P20" i="2"/>
  <c r="U20" i="2" s="1"/>
  <c r="U19" i="2"/>
  <c r="S19" i="2"/>
  <c r="P19" i="2"/>
  <c r="U18" i="2"/>
  <c r="S18" i="2"/>
  <c r="P18" i="2"/>
  <c r="S17" i="2"/>
  <c r="P17" i="2"/>
  <c r="U17" i="2" s="1"/>
  <c r="S16" i="2"/>
  <c r="P16" i="2"/>
  <c r="U16" i="2" s="1"/>
  <c r="U15" i="2"/>
  <c r="S15" i="2"/>
  <c r="P15" i="2"/>
  <c r="S14" i="2"/>
  <c r="P14" i="2"/>
  <c r="U14" i="2" s="1"/>
  <c r="U13" i="2"/>
  <c r="S13" i="2"/>
  <c r="P13" i="2"/>
  <c r="M13" i="2"/>
  <c r="R13" i="2" s="1"/>
  <c r="L13" i="2"/>
  <c r="L14" i="2" s="1"/>
  <c r="K13" i="2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U12" i="2"/>
  <c r="C7" i="1" s="1"/>
  <c r="S12" i="2"/>
  <c r="R12" i="2"/>
  <c r="Q12" i="2"/>
  <c r="P12" i="2"/>
  <c r="M12" i="2"/>
  <c r="L12" i="2"/>
  <c r="K12" i="2"/>
  <c r="S11" i="2"/>
  <c r="R11" i="2"/>
  <c r="Q11" i="2"/>
  <c r="P11" i="2"/>
  <c r="U11" i="2" s="1"/>
  <c r="T11" i="2" s="1"/>
  <c r="AQ6" i="1" s="1"/>
  <c r="O11" i="2"/>
  <c r="O12" i="2" s="1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U10" i="2"/>
  <c r="T10" i="2"/>
  <c r="S10" i="2"/>
  <c r="R10" i="2"/>
  <c r="Q10" i="2"/>
  <c r="P10" i="2"/>
  <c r="AX91" i="1"/>
  <c r="AW91" i="1"/>
  <c r="AV91" i="1"/>
  <c r="AU91" i="1"/>
  <c r="AT91" i="1"/>
  <c r="AS91" i="1"/>
  <c r="AR91" i="1"/>
  <c r="AP91" i="1"/>
  <c r="AO91" i="1"/>
  <c r="AN91" i="1"/>
  <c r="AM91" i="1"/>
  <c r="AL91" i="1"/>
  <c r="AK91" i="1"/>
  <c r="AJ91" i="1"/>
  <c r="AH91" i="1"/>
  <c r="AG91" i="1"/>
  <c r="AF91" i="1"/>
  <c r="AE91" i="1"/>
  <c r="AD91" i="1"/>
  <c r="AC91" i="1"/>
  <c r="AB91" i="1"/>
  <c r="Z91" i="1"/>
  <c r="Y91" i="1"/>
  <c r="X91" i="1"/>
  <c r="W91" i="1"/>
  <c r="V91" i="1"/>
  <c r="U91" i="1"/>
  <c r="T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A91" i="1"/>
  <c r="B91" i="1" s="1"/>
  <c r="AX90" i="1"/>
  <c r="AW90" i="1"/>
  <c r="AV90" i="1"/>
  <c r="AU90" i="1"/>
  <c r="AT90" i="1"/>
  <c r="AS90" i="1"/>
  <c r="AR90" i="1"/>
  <c r="AP90" i="1"/>
  <c r="AO90" i="1"/>
  <c r="AN90" i="1"/>
  <c r="AM90" i="1"/>
  <c r="AL90" i="1"/>
  <c r="AK90" i="1"/>
  <c r="AJ90" i="1"/>
  <c r="AH90" i="1"/>
  <c r="AG90" i="1"/>
  <c r="AF90" i="1"/>
  <c r="AE90" i="1"/>
  <c r="AD90" i="1"/>
  <c r="AC90" i="1"/>
  <c r="AB90" i="1"/>
  <c r="Z90" i="1"/>
  <c r="Y90" i="1"/>
  <c r="X90" i="1"/>
  <c r="W90" i="1"/>
  <c r="V90" i="1"/>
  <c r="U90" i="1"/>
  <c r="T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A90" i="1"/>
  <c r="B90" i="1" s="1"/>
  <c r="AX89" i="1"/>
  <c r="AW89" i="1"/>
  <c r="AV89" i="1"/>
  <c r="AU89" i="1"/>
  <c r="AT89" i="1"/>
  <c r="AS89" i="1"/>
  <c r="AR89" i="1"/>
  <c r="AP89" i="1"/>
  <c r="AO89" i="1"/>
  <c r="AN89" i="1"/>
  <c r="AM89" i="1"/>
  <c r="AL89" i="1"/>
  <c r="AK89" i="1"/>
  <c r="AJ89" i="1"/>
  <c r="AH89" i="1"/>
  <c r="AG89" i="1"/>
  <c r="AF89" i="1"/>
  <c r="AE89" i="1"/>
  <c r="AD89" i="1"/>
  <c r="AC89" i="1"/>
  <c r="AB89" i="1"/>
  <c r="Z89" i="1"/>
  <c r="Y89" i="1"/>
  <c r="X89" i="1"/>
  <c r="W89" i="1"/>
  <c r="V89" i="1"/>
  <c r="U89" i="1"/>
  <c r="T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B89" i="1"/>
  <c r="A89" i="1"/>
  <c r="AX88" i="1"/>
  <c r="AW88" i="1"/>
  <c r="AV88" i="1"/>
  <c r="AU88" i="1"/>
  <c r="AT88" i="1"/>
  <c r="AS88" i="1"/>
  <c r="AR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Z88" i="1"/>
  <c r="Y88" i="1"/>
  <c r="X88" i="1"/>
  <c r="W88" i="1"/>
  <c r="V88" i="1"/>
  <c r="U88" i="1"/>
  <c r="T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X87" i="1"/>
  <c r="AW87" i="1"/>
  <c r="AV87" i="1"/>
  <c r="AU87" i="1"/>
  <c r="AT87" i="1"/>
  <c r="AS87" i="1"/>
  <c r="AR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Z87" i="1"/>
  <c r="Y87" i="1"/>
  <c r="X87" i="1"/>
  <c r="W87" i="1"/>
  <c r="V87" i="1"/>
  <c r="U87" i="1"/>
  <c r="T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A87" i="1"/>
  <c r="B87" i="1" s="1"/>
  <c r="AX86" i="1"/>
  <c r="AW86" i="1"/>
  <c r="AV86" i="1"/>
  <c r="AU86" i="1"/>
  <c r="AT86" i="1"/>
  <c r="AS86" i="1"/>
  <c r="AR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Z86" i="1"/>
  <c r="Y86" i="1"/>
  <c r="X86" i="1"/>
  <c r="W86" i="1"/>
  <c r="V86" i="1"/>
  <c r="U86" i="1"/>
  <c r="T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A86" i="1"/>
  <c r="B86" i="1" s="1"/>
  <c r="AX85" i="1"/>
  <c r="AW85" i="1"/>
  <c r="AV85" i="1"/>
  <c r="AU85" i="1"/>
  <c r="AT85" i="1"/>
  <c r="AS85" i="1"/>
  <c r="AR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Z85" i="1"/>
  <c r="Y85" i="1"/>
  <c r="X85" i="1"/>
  <c r="W85" i="1"/>
  <c r="V85" i="1"/>
  <c r="U85" i="1"/>
  <c r="T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X84" i="1"/>
  <c r="AW84" i="1"/>
  <c r="AV84" i="1"/>
  <c r="AU84" i="1"/>
  <c r="AT84" i="1"/>
  <c r="AS84" i="1"/>
  <c r="AR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Z84" i="1"/>
  <c r="Y84" i="1"/>
  <c r="X84" i="1"/>
  <c r="W84" i="1"/>
  <c r="V84" i="1"/>
  <c r="U84" i="1"/>
  <c r="T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A84" i="1"/>
  <c r="B84" i="1" s="1"/>
  <c r="AX83" i="1"/>
  <c r="AW83" i="1"/>
  <c r="AV83" i="1"/>
  <c r="AU83" i="1"/>
  <c r="AT83" i="1"/>
  <c r="AS83" i="1"/>
  <c r="AR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Z83" i="1"/>
  <c r="Y83" i="1"/>
  <c r="X83" i="1"/>
  <c r="W83" i="1"/>
  <c r="V83" i="1"/>
  <c r="U83" i="1"/>
  <c r="T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A83" i="1"/>
  <c r="B83" i="1" s="1"/>
  <c r="AX82" i="1"/>
  <c r="AW82" i="1"/>
  <c r="AV82" i="1"/>
  <c r="AU82" i="1"/>
  <c r="AT82" i="1"/>
  <c r="AS82" i="1"/>
  <c r="AR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Z82" i="1"/>
  <c r="Y82" i="1"/>
  <c r="X82" i="1"/>
  <c r="W82" i="1"/>
  <c r="V82" i="1"/>
  <c r="U82" i="1"/>
  <c r="T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A82" i="1"/>
  <c r="B82" i="1" s="1"/>
  <c r="AX81" i="1"/>
  <c r="AW81" i="1"/>
  <c r="AV81" i="1"/>
  <c r="AU81" i="1"/>
  <c r="AT81" i="1"/>
  <c r="AS81" i="1"/>
  <c r="AR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Z81" i="1"/>
  <c r="Y81" i="1"/>
  <c r="X81" i="1"/>
  <c r="W81" i="1"/>
  <c r="V81" i="1"/>
  <c r="U81" i="1"/>
  <c r="T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X80" i="1"/>
  <c r="AW80" i="1"/>
  <c r="AV80" i="1"/>
  <c r="AU80" i="1"/>
  <c r="AT80" i="1"/>
  <c r="AS80" i="1"/>
  <c r="AR80" i="1"/>
  <c r="AP80" i="1"/>
  <c r="AO80" i="1"/>
  <c r="AN80" i="1"/>
  <c r="AM80" i="1"/>
  <c r="AL80" i="1"/>
  <c r="AK80" i="1"/>
  <c r="AJ80" i="1"/>
  <c r="AH80" i="1"/>
  <c r="AG80" i="1"/>
  <c r="AF80" i="1"/>
  <c r="AE80" i="1"/>
  <c r="AD80" i="1"/>
  <c r="AC80" i="1"/>
  <c r="AB80" i="1"/>
  <c r="Z80" i="1"/>
  <c r="Y80" i="1"/>
  <c r="X80" i="1"/>
  <c r="W80" i="1"/>
  <c r="V80" i="1"/>
  <c r="U80" i="1"/>
  <c r="T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A80" i="1"/>
  <c r="B80" i="1" s="1"/>
  <c r="AX79" i="1"/>
  <c r="AW79" i="1"/>
  <c r="AV79" i="1"/>
  <c r="AU79" i="1"/>
  <c r="AT79" i="1"/>
  <c r="AS79" i="1"/>
  <c r="AR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Z79" i="1"/>
  <c r="Y79" i="1"/>
  <c r="X79" i="1"/>
  <c r="W79" i="1"/>
  <c r="V79" i="1"/>
  <c r="U79" i="1"/>
  <c r="T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A79" i="1"/>
  <c r="B79" i="1" s="1"/>
  <c r="AX78" i="1"/>
  <c r="AW78" i="1"/>
  <c r="AV78" i="1"/>
  <c r="AU78" i="1"/>
  <c r="AT78" i="1"/>
  <c r="AS78" i="1"/>
  <c r="AR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Z78" i="1"/>
  <c r="Y78" i="1"/>
  <c r="X78" i="1"/>
  <c r="W78" i="1"/>
  <c r="V78" i="1"/>
  <c r="U78" i="1"/>
  <c r="T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A78" i="1"/>
  <c r="B78" i="1" s="1"/>
  <c r="AX77" i="1"/>
  <c r="AW77" i="1"/>
  <c r="AV77" i="1"/>
  <c r="AU77" i="1"/>
  <c r="AT77" i="1"/>
  <c r="AS77" i="1"/>
  <c r="AR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Z77" i="1"/>
  <c r="Y77" i="1"/>
  <c r="X77" i="1"/>
  <c r="W77" i="1"/>
  <c r="V77" i="1"/>
  <c r="U77" i="1"/>
  <c r="T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A77" i="1"/>
  <c r="B77" i="1" s="1"/>
  <c r="AX76" i="1"/>
  <c r="AW76" i="1"/>
  <c r="AV76" i="1"/>
  <c r="AU76" i="1"/>
  <c r="AT76" i="1"/>
  <c r="AS76" i="1"/>
  <c r="AR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Z76" i="1"/>
  <c r="Y76" i="1"/>
  <c r="X76" i="1"/>
  <c r="W76" i="1"/>
  <c r="V76" i="1"/>
  <c r="U76" i="1"/>
  <c r="T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A76" i="1"/>
  <c r="B76" i="1" s="1"/>
  <c r="AX75" i="1"/>
  <c r="AW75" i="1"/>
  <c r="AV75" i="1"/>
  <c r="AU75" i="1"/>
  <c r="AT75" i="1"/>
  <c r="AS75" i="1"/>
  <c r="AR75" i="1"/>
  <c r="AP75" i="1"/>
  <c r="AO75" i="1"/>
  <c r="AN75" i="1"/>
  <c r="AM75" i="1"/>
  <c r="AL75" i="1"/>
  <c r="AK75" i="1"/>
  <c r="AJ75" i="1"/>
  <c r="AH75" i="1"/>
  <c r="AG75" i="1"/>
  <c r="AF75" i="1"/>
  <c r="AE75" i="1"/>
  <c r="AD75" i="1"/>
  <c r="AC75" i="1"/>
  <c r="AB75" i="1"/>
  <c r="Z75" i="1"/>
  <c r="Y75" i="1"/>
  <c r="X75" i="1"/>
  <c r="W75" i="1"/>
  <c r="V75" i="1"/>
  <c r="U75" i="1"/>
  <c r="T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A75" i="1"/>
  <c r="B75" i="1" s="1"/>
  <c r="AX74" i="1"/>
  <c r="AW74" i="1"/>
  <c r="AV74" i="1"/>
  <c r="AU74" i="1"/>
  <c r="AT74" i="1"/>
  <c r="AS74" i="1"/>
  <c r="AR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Z74" i="1"/>
  <c r="Y74" i="1"/>
  <c r="X74" i="1"/>
  <c r="W74" i="1"/>
  <c r="V74" i="1"/>
  <c r="U74" i="1"/>
  <c r="T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A74" i="1"/>
  <c r="B74" i="1" s="1"/>
  <c r="AX73" i="1"/>
  <c r="AW73" i="1"/>
  <c r="AV73" i="1"/>
  <c r="AU73" i="1"/>
  <c r="AT73" i="1"/>
  <c r="AS73" i="1"/>
  <c r="AR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Z73" i="1"/>
  <c r="Y73" i="1"/>
  <c r="X73" i="1"/>
  <c r="W73" i="1"/>
  <c r="V73" i="1"/>
  <c r="U73" i="1"/>
  <c r="T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A73" i="1"/>
  <c r="B73" i="1" s="1"/>
  <c r="AX72" i="1"/>
  <c r="AW72" i="1"/>
  <c r="AV72" i="1"/>
  <c r="AU72" i="1"/>
  <c r="AT72" i="1"/>
  <c r="AS72" i="1"/>
  <c r="AR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Z72" i="1"/>
  <c r="Y72" i="1"/>
  <c r="X72" i="1"/>
  <c r="W72" i="1"/>
  <c r="V72" i="1"/>
  <c r="U72" i="1"/>
  <c r="T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A72" i="1"/>
  <c r="B72" i="1" s="1"/>
  <c r="AX71" i="1"/>
  <c r="AW71" i="1"/>
  <c r="AV71" i="1"/>
  <c r="AU71" i="1"/>
  <c r="AT71" i="1"/>
  <c r="AS71" i="1"/>
  <c r="AR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Z71" i="1"/>
  <c r="Y71" i="1"/>
  <c r="X71" i="1"/>
  <c r="W71" i="1"/>
  <c r="V71" i="1"/>
  <c r="U71" i="1"/>
  <c r="T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A71" i="1"/>
  <c r="B71" i="1" s="1"/>
  <c r="AX70" i="1"/>
  <c r="AW70" i="1"/>
  <c r="AV70" i="1"/>
  <c r="AU70" i="1"/>
  <c r="AT70" i="1"/>
  <c r="AS70" i="1"/>
  <c r="AR70" i="1"/>
  <c r="AP70" i="1"/>
  <c r="AO70" i="1"/>
  <c r="AN70" i="1"/>
  <c r="AM70" i="1"/>
  <c r="AL70" i="1"/>
  <c r="AK70" i="1"/>
  <c r="AJ70" i="1"/>
  <c r="AH70" i="1"/>
  <c r="AG70" i="1"/>
  <c r="AF70" i="1"/>
  <c r="AE70" i="1"/>
  <c r="AD70" i="1"/>
  <c r="AC70" i="1"/>
  <c r="AB70" i="1"/>
  <c r="Z70" i="1"/>
  <c r="Y70" i="1"/>
  <c r="X70" i="1"/>
  <c r="W70" i="1"/>
  <c r="V70" i="1"/>
  <c r="U70" i="1"/>
  <c r="T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B70" i="1"/>
  <c r="A70" i="1"/>
  <c r="AX69" i="1"/>
  <c r="AW69" i="1"/>
  <c r="AV69" i="1"/>
  <c r="AU69" i="1"/>
  <c r="AT69" i="1"/>
  <c r="AS69" i="1"/>
  <c r="AR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Z69" i="1"/>
  <c r="Y69" i="1"/>
  <c r="X69" i="1"/>
  <c r="W69" i="1"/>
  <c r="V69" i="1"/>
  <c r="U69" i="1"/>
  <c r="T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X68" i="1"/>
  <c r="AW68" i="1"/>
  <c r="AV68" i="1"/>
  <c r="AU68" i="1"/>
  <c r="AT68" i="1"/>
  <c r="AS68" i="1"/>
  <c r="AR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Z68" i="1"/>
  <c r="Y68" i="1"/>
  <c r="X68" i="1"/>
  <c r="W68" i="1"/>
  <c r="V68" i="1"/>
  <c r="U68" i="1"/>
  <c r="T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A68" i="1"/>
  <c r="B68" i="1" s="1"/>
  <c r="AX67" i="1"/>
  <c r="AW67" i="1"/>
  <c r="AV67" i="1"/>
  <c r="AU67" i="1"/>
  <c r="AT67" i="1"/>
  <c r="AS67" i="1"/>
  <c r="AR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Z67" i="1"/>
  <c r="Y67" i="1"/>
  <c r="X67" i="1"/>
  <c r="W67" i="1"/>
  <c r="V67" i="1"/>
  <c r="U67" i="1"/>
  <c r="T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A67" i="1"/>
  <c r="B67" i="1" s="1"/>
  <c r="AX66" i="1"/>
  <c r="AW66" i="1"/>
  <c r="AV66" i="1"/>
  <c r="AU66" i="1"/>
  <c r="AT66" i="1"/>
  <c r="AS66" i="1"/>
  <c r="AR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Z66" i="1"/>
  <c r="Y66" i="1"/>
  <c r="X66" i="1"/>
  <c r="W66" i="1"/>
  <c r="V66" i="1"/>
  <c r="U66" i="1"/>
  <c r="T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66" i="1"/>
  <c r="B66" i="1" s="1"/>
  <c r="AX65" i="1"/>
  <c r="AW65" i="1"/>
  <c r="AV65" i="1"/>
  <c r="AU65" i="1"/>
  <c r="AT65" i="1"/>
  <c r="AS65" i="1"/>
  <c r="AR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Z65" i="1"/>
  <c r="Y65" i="1"/>
  <c r="X65" i="1"/>
  <c r="W65" i="1"/>
  <c r="V65" i="1"/>
  <c r="U65" i="1"/>
  <c r="T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X64" i="1"/>
  <c r="AW64" i="1"/>
  <c r="AV64" i="1"/>
  <c r="AU64" i="1"/>
  <c r="AT64" i="1"/>
  <c r="AS64" i="1"/>
  <c r="AR64" i="1"/>
  <c r="AP64" i="1"/>
  <c r="AO64" i="1"/>
  <c r="AN64" i="1"/>
  <c r="AM64" i="1"/>
  <c r="AL64" i="1"/>
  <c r="AK64" i="1"/>
  <c r="AJ64" i="1"/>
  <c r="AH64" i="1"/>
  <c r="AG64" i="1"/>
  <c r="AF64" i="1"/>
  <c r="AE64" i="1"/>
  <c r="AD64" i="1"/>
  <c r="AC64" i="1"/>
  <c r="AB64" i="1"/>
  <c r="Z64" i="1"/>
  <c r="Y64" i="1"/>
  <c r="X64" i="1"/>
  <c r="W64" i="1"/>
  <c r="V64" i="1"/>
  <c r="U64" i="1"/>
  <c r="T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A64" i="1"/>
  <c r="B64" i="1" s="1"/>
  <c r="AX63" i="1"/>
  <c r="AW63" i="1"/>
  <c r="AV63" i="1"/>
  <c r="AU63" i="1"/>
  <c r="AT63" i="1"/>
  <c r="AS63" i="1"/>
  <c r="AR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Z63" i="1"/>
  <c r="Y63" i="1"/>
  <c r="X63" i="1"/>
  <c r="W63" i="1"/>
  <c r="V63" i="1"/>
  <c r="U63" i="1"/>
  <c r="T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X62" i="1"/>
  <c r="AW62" i="1"/>
  <c r="AV62" i="1"/>
  <c r="AU62" i="1"/>
  <c r="AT62" i="1"/>
  <c r="AS62" i="1"/>
  <c r="AR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Z62" i="1"/>
  <c r="Y62" i="1"/>
  <c r="X62" i="1"/>
  <c r="W62" i="1"/>
  <c r="V62" i="1"/>
  <c r="U62" i="1"/>
  <c r="T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A62" i="1"/>
  <c r="B62" i="1" s="1"/>
  <c r="AX61" i="1"/>
  <c r="AW61" i="1"/>
  <c r="AV61" i="1"/>
  <c r="AU61" i="1"/>
  <c r="AT61" i="1"/>
  <c r="AS61" i="1"/>
  <c r="AR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Z61" i="1"/>
  <c r="Y61" i="1"/>
  <c r="X61" i="1"/>
  <c r="W61" i="1"/>
  <c r="V61" i="1"/>
  <c r="U61" i="1"/>
  <c r="T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X60" i="1"/>
  <c r="AW60" i="1"/>
  <c r="AV60" i="1"/>
  <c r="AU60" i="1"/>
  <c r="AT60" i="1"/>
  <c r="AS60" i="1"/>
  <c r="AR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Z60" i="1"/>
  <c r="Y60" i="1"/>
  <c r="X60" i="1"/>
  <c r="W60" i="1"/>
  <c r="V60" i="1"/>
  <c r="U60" i="1"/>
  <c r="T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X59" i="1"/>
  <c r="AW59" i="1"/>
  <c r="AV59" i="1"/>
  <c r="AU59" i="1"/>
  <c r="AT59" i="1"/>
  <c r="AS59" i="1"/>
  <c r="AR59" i="1"/>
  <c r="AP59" i="1"/>
  <c r="AO59" i="1"/>
  <c r="AN59" i="1"/>
  <c r="AM59" i="1"/>
  <c r="AL59" i="1"/>
  <c r="AK59" i="1"/>
  <c r="AJ59" i="1"/>
  <c r="AH59" i="1"/>
  <c r="AG59" i="1"/>
  <c r="AF59" i="1"/>
  <c r="AE59" i="1"/>
  <c r="AD59" i="1"/>
  <c r="AC59" i="1"/>
  <c r="AB59" i="1"/>
  <c r="Z59" i="1"/>
  <c r="Y59" i="1"/>
  <c r="X59" i="1"/>
  <c r="W59" i="1"/>
  <c r="V59" i="1"/>
  <c r="U59" i="1"/>
  <c r="T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A59" i="1"/>
  <c r="B59" i="1" s="1"/>
  <c r="AX58" i="1"/>
  <c r="AW58" i="1"/>
  <c r="AV58" i="1"/>
  <c r="AU58" i="1"/>
  <c r="AT58" i="1"/>
  <c r="AS58" i="1"/>
  <c r="AR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Z58" i="1"/>
  <c r="Y58" i="1"/>
  <c r="X58" i="1"/>
  <c r="W58" i="1"/>
  <c r="V58" i="1"/>
  <c r="U58" i="1"/>
  <c r="T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58" i="1"/>
  <c r="B58" i="1" s="1"/>
  <c r="AX57" i="1"/>
  <c r="AW57" i="1"/>
  <c r="AV57" i="1"/>
  <c r="AU57" i="1"/>
  <c r="AT57" i="1"/>
  <c r="AS57" i="1"/>
  <c r="AR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Z57" i="1"/>
  <c r="Y57" i="1"/>
  <c r="X57" i="1"/>
  <c r="W57" i="1"/>
  <c r="V57" i="1"/>
  <c r="U57" i="1"/>
  <c r="T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57" i="1"/>
  <c r="B57" i="1" s="1"/>
  <c r="AX56" i="1"/>
  <c r="AW56" i="1"/>
  <c r="AV56" i="1"/>
  <c r="AU56" i="1"/>
  <c r="AT56" i="1"/>
  <c r="AS56" i="1"/>
  <c r="AR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Z56" i="1"/>
  <c r="Y56" i="1"/>
  <c r="X56" i="1"/>
  <c r="W56" i="1"/>
  <c r="V56" i="1"/>
  <c r="U56" i="1"/>
  <c r="T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X55" i="1"/>
  <c r="AW55" i="1"/>
  <c r="AV55" i="1"/>
  <c r="AU55" i="1"/>
  <c r="AT55" i="1"/>
  <c r="AS55" i="1"/>
  <c r="AR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Z55" i="1"/>
  <c r="Y55" i="1"/>
  <c r="X55" i="1"/>
  <c r="W55" i="1"/>
  <c r="V55" i="1"/>
  <c r="U55" i="1"/>
  <c r="T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A55" i="1"/>
  <c r="B55" i="1" s="1"/>
  <c r="AX54" i="1"/>
  <c r="AW54" i="1"/>
  <c r="AV54" i="1"/>
  <c r="AU54" i="1"/>
  <c r="AT54" i="1"/>
  <c r="AS54" i="1"/>
  <c r="AR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Z54" i="1"/>
  <c r="Y54" i="1"/>
  <c r="X54" i="1"/>
  <c r="W54" i="1"/>
  <c r="V54" i="1"/>
  <c r="U54" i="1"/>
  <c r="T54" i="1"/>
  <c r="R54" i="1"/>
  <c r="Q54" i="1"/>
  <c r="P54" i="1"/>
  <c r="O54" i="1"/>
  <c r="N54" i="1"/>
  <c r="M54" i="1"/>
  <c r="L54" i="1"/>
  <c r="J54" i="1"/>
  <c r="I54" i="1"/>
  <c r="H54" i="1"/>
  <c r="G54" i="1"/>
  <c r="F54" i="1"/>
  <c r="E54" i="1"/>
  <c r="D54" i="1"/>
  <c r="C54" i="1"/>
  <c r="B54" i="1"/>
  <c r="A54" i="1"/>
  <c r="AX53" i="1"/>
  <c r="AW53" i="1"/>
  <c r="AV53" i="1"/>
  <c r="AU53" i="1"/>
  <c r="AT53" i="1"/>
  <c r="AS53" i="1"/>
  <c r="AR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Z53" i="1"/>
  <c r="Y53" i="1"/>
  <c r="X53" i="1"/>
  <c r="W53" i="1"/>
  <c r="V53" i="1"/>
  <c r="U53" i="1"/>
  <c r="T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A53" i="1"/>
  <c r="B53" i="1" s="1"/>
  <c r="AX52" i="1"/>
  <c r="AW52" i="1"/>
  <c r="AV52" i="1"/>
  <c r="AU52" i="1"/>
  <c r="AT52" i="1"/>
  <c r="AS52" i="1"/>
  <c r="AR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Z52" i="1"/>
  <c r="Y52" i="1"/>
  <c r="X52" i="1"/>
  <c r="W52" i="1"/>
  <c r="V52" i="1"/>
  <c r="U52" i="1"/>
  <c r="T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B52" i="1"/>
  <c r="A52" i="1"/>
  <c r="AX51" i="1"/>
  <c r="AW51" i="1"/>
  <c r="AV51" i="1"/>
  <c r="AU51" i="1"/>
  <c r="AT51" i="1"/>
  <c r="AS51" i="1"/>
  <c r="AR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Z51" i="1"/>
  <c r="Y51" i="1"/>
  <c r="X51" i="1"/>
  <c r="W51" i="1"/>
  <c r="V51" i="1"/>
  <c r="U51" i="1"/>
  <c r="T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A51" i="1"/>
  <c r="B51" i="1" s="1"/>
  <c r="AX50" i="1"/>
  <c r="AW50" i="1"/>
  <c r="AV50" i="1"/>
  <c r="AU50" i="1"/>
  <c r="AT50" i="1"/>
  <c r="AS50" i="1"/>
  <c r="AR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Z50" i="1"/>
  <c r="Y50" i="1"/>
  <c r="X50" i="1"/>
  <c r="W50" i="1"/>
  <c r="V50" i="1"/>
  <c r="U50" i="1"/>
  <c r="T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A50" i="1"/>
  <c r="B50" i="1" s="1"/>
  <c r="AX49" i="1"/>
  <c r="AW49" i="1"/>
  <c r="AV49" i="1"/>
  <c r="AU49" i="1"/>
  <c r="AT49" i="1"/>
  <c r="AS49" i="1"/>
  <c r="AR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Z49" i="1"/>
  <c r="Y49" i="1"/>
  <c r="X49" i="1"/>
  <c r="W49" i="1"/>
  <c r="V49" i="1"/>
  <c r="U49" i="1"/>
  <c r="T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A49" i="1"/>
  <c r="B49" i="1" s="1"/>
  <c r="AX48" i="1"/>
  <c r="AW48" i="1"/>
  <c r="AV48" i="1"/>
  <c r="AU48" i="1"/>
  <c r="AT48" i="1"/>
  <c r="AS48" i="1"/>
  <c r="AR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Z48" i="1"/>
  <c r="Y48" i="1"/>
  <c r="X48" i="1"/>
  <c r="W48" i="1"/>
  <c r="V48" i="1"/>
  <c r="U48" i="1"/>
  <c r="T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48" i="1"/>
  <c r="B48" i="1" s="1"/>
  <c r="AX47" i="1"/>
  <c r="AW47" i="1"/>
  <c r="AV47" i="1"/>
  <c r="AU47" i="1"/>
  <c r="AT47" i="1"/>
  <c r="AS47" i="1"/>
  <c r="AR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Z47" i="1"/>
  <c r="Y47" i="1"/>
  <c r="X47" i="1"/>
  <c r="W47" i="1"/>
  <c r="V47" i="1"/>
  <c r="U47" i="1"/>
  <c r="T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X46" i="1"/>
  <c r="AW46" i="1"/>
  <c r="AV46" i="1"/>
  <c r="AU46" i="1"/>
  <c r="AT46" i="1"/>
  <c r="AS46" i="1"/>
  <c r="AR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Z46" i="1"/>
  <c r="Y46" i="1"/>
  <c r="X46" i="1"/>
  <c r="W46" i="1"/>
  <c r="V46" i="1"/>
  <c r="U46" i="1"/>
  <c r="T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46" i="1"/>
  <c r="B46" i="1" s="1"/>
  <c r="AX45" i="1"/>
  <c r="AW45" i="1"/>
  <c r="AV45" i="1"/>
  <c r="AU45" i="1"/>
  <c r="AT45" i="1"/>
  <c r="AS45" i="1"/>
  <c r="AR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Z45" i="1"/>
  <c r="Y45" i="1"/>
  <c r="X45" i="1"/>
  <c r="W45" i="1"/>
  <c r="V45" i="1"/>
  <c r="U45" i="1"/>
  <c r="T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X44" i="1"/>
  <c r="AW44" i="1"/>
  <c r="AV44" i="1"/>
  <c r="AU44" i="1"/>
  <c r="AT44" i="1"/>
  <c r="AS44" i="1"/>
  <c r="AR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Z44" i="1"/>
  <c r="Y44" i="1"/>
  <c r="X44" i="1"/>
  <c r="W44" i="1"/>
  <c r="V44" i="1"/>
  <c r="U44" i="1"/>
  <c r="T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44" i="1"/>
  <c r="B44" i="1" s="1"/>
  <c r="AX43" i="1"/>
  <c r="AW43" i="1"/>
  <c r="AV43" i="1"/>
  <c r="AU43" i="1"/>
  <c r="AT43" i="1"/>
  <c r="AS43" i="1"/>
  <c r="AR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Z43" i="1"/>
  <c r="Y43" i="1"/>
  <c r="X43" i="1"/>
  <c r="W43" i="1"/>
  <c r="V43" i="1"/>
  <c r="U43" i="1"/>
  <c r="T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43" i="1"/>
  <c r="B43" i="1" s="1"/>
  <c r="AX42" i="1"/>
  <c r="AW42" i="1"/>
  <c r="AV42" i="1"/>
  <c r="AU42" i="1"/>
  <c r="AT42" i="1"/>
  <c r="AS42" i="1"/>
  <c r="AR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Z42" i="1"/>
  <c r="Y42" i="1"/>
  <c r="X42" i="1"/>
  <c r="W42" i="1"/>
  <c r="V42" i="1"/>
  <c r="U42" i="1"/>
  <c r="T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42" i="1"/>
  <c r="B42" i="1" s="1"/>
  <c r="AX41" i="1"/>
  <c r="AW41" i="1"/>
  <c r="AV41" i="1"/>
  <c r="AU41" i="1"/>
  <c r="AT41" i="1"/>
  <c r="AS41" i="1"/>
  <c r="AR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Z41" i="1"/>
  <c r="Y41" i="1"/>
  <c r="X41" i="1"/>
  <c r="W41" i="1"/>
  <c r="V41" i="1"/>
  <c r="U41" i="1"/>
  <c r="T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B41" i="1"/>
  <c r="A41" i="1"/>
  <c r="AX40" i="1"/>
  <c r="AW40" i="1"/>
  <c r="AV40" i="1"/>
  <c r="AU40" i="1"/>
  <c r="AT40" i="1"/>
  <c r="AS40" i="1"/>
  <c r="AR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Z40" i="1"/>
  <c r="Y40" i="1"/>
  <c r="X40" i="1"/>
  <c r="W40" i="1"/>
  <c r="V40" i="1"/>
  <c r="U40" i="1"/>
  <c r="T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40" i="1"/>
  <c r="B40" i="1" s="1"/>
  <c r="AX39" i="1"/>
  <c r="AW39" i="1"/>
  <c r="AV39" i="1"/>
  <c r="AU39" i="1"/>
  <c r="AT39" i="1"/>
  <c r="AS39" i="1"/>
  <c r="AR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Z39" i="1"/>
  <c r="Y39" i="1"/>
  <c r="X39" i="1"/>
  <c r="W39" i="1"/>
  <c r="V39" i="1"/>
  <c r="U39" i="1"/>
  <c r="T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A39" i="1"/>
  <c r="B39" i="1" s="1"/>
  <c r="AX38" i="1"/>
  <c r="AW38" i="1"/>
  <c r="AV38" i="1"/>
  <c r="AU38" i="1"/>
  <c r="AT38" i="1"/>
  <c r="AS38" i="1"/>
  <c r="AR38" i="1"/>
  <c r="AP38" i="1"/>
  <c r="AO38" i="1"/>
  <c r="AN38" i="1"/>
  <c r="AM38" i="1"/>
  <c r="AL38" i="1"/>
  <c r="AK38" i="1"/>
  <c r="AJ38" i="1"/>
  <c r="AH38" i="1"/>
  <c r="AG38" i="1"/>
  <c r="AF38" i="1"/>
  <c r="AE38" i="1"/>
  <c r="AD38" i="1"/>
  <c r="AC38" i="1"/>
  <c r="AB38" i="1"/>
  <c r="Z38" i="1"/>
  <c r="Y38" i="1"/>
  <c r="X38" i="1"/>
  <c r="W38" i="1"/>
  <c r="V38" i="1"/>
  <c r="U38" i="1"/>
  <c r="T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X37" i="1"/>
  <c r="AW37" i="1"/>
  <c r="AV37" i="1"/>
  <c r="AU37" i="1"/>
  <c r="AT37" i="1"/>
  <c r="AS37" i="1"/>
  <c r="AR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Z37" i="1"/>
  <c r="Y37" i="1"/>
  <c r="X37" i="1"/>
  <c r="W37" i="1"/>
  <c r="V37" i="1"/>
  <c r="U37" i="1"/>
  <c r="T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A37" i="1"/>
  <c r="B37" i="1" s="1"/>
  <c r="AX36" i="1"/>
  <c r="AW36" i="1"/>
  <c r="AV36" i="1"/>
  <c r="AU36" i="1"/>
  <c r="AT36" i="1"/>
  <c r="AS36" i="1"/>
  <c r="AR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Z36" i="1"/>
  <c r="Y36" i="1"/>
  <c r="X36" i="1"/>
  <c r="W36" i="1"/>
  <c r="V36" i="1"/>
  <c r="U36" i="1"/>
  <c r="T36" i="1"/>
  <c r="R36" i="1"/>
  <c r="Q36" i="1"/>
  <c r="P36" i="1"/>
  <c r="O36" i="1"/>
  <c r="N36" i="1"/>
  <c r="M36" i="1"/>
  <c r="L36" i="1"/>
  <c r="J36" i="1"/>
  <c r="I36" i="1"/>
  <c r="H36" i="1"/>
  <c r="G36" i="1"/>
  <c r="F36" i="1"/>
  <c r="E36" i="1"/>
  <c r="D36" i="1"/>
  <c r="B36" i="1"/>
  <c r="A36" i="1"/>
  <c r="AX35" i="1"/>
  <c r="AW35" i="1"/>
  <c r="AV35" i="1"/>
  <c r="AU35" i="1"/>
  <c r="AT35" i="1"/>
  <c r="AS35" i="1"/>
  <c r="AR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Z35" i="1"/>
  <c r="Y35" i="1"/>
  <c r="X35" i="1"/>
  <c r="W35" i="1"/>
  <c r="V35" i="1"/>
  <c r="U35" i="1"/>
  <c r="T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35" i="1"/>
  <c r="B35" i="1" s="1"/>
  <c r="AX34" i="1"/>
  <c r="AW34" i="1"/>
  <c r="AV34" i="1"/>
  <c r="AU34" i="1"/>
  <c r="AT34" i="1"/>
  <c r="AS34" i="1"/>
  <c r="AR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Z34" i="1"/>
  <c r="Y34" i="1"/>
  <c r="X34" i="1"/>
  <c r="W34" i="1"/>
  <c r="V34" i="1"/>
  <c r="U34" i="1"/>
  <c r="T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34" i="1"/>
  <c r="B34" i="1" s="1"/>
  <c r="AX33" i="1"/>
  <c r="AW33" i="1"/>
  <c r="AV33" i="1"/>
  <c r="AU33" i="1"/>
  <c r="AT33" i="1"/>
  <c r="AS33" i="1"/>
  <c r="AR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Z33" i="1"/>
  <c r="Y33" i="1"/>
  <c r="X33" i="1"/>
  <c r="W33" i="1"/>
  <c r="V33" i="1"/>
  <c r="U33" i="1"/>
  <c r="T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X32" i="1"/>
  <c r="AW32" i="1"/>
  <c r="AV32" i="1"/>
  <c r="AU32" i="1"/>
  <c r="AT32" i="1"/>
  <c r="AS32" i="1"/>
  <c r="AR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Z32" i="1"/>
  <c r="Y32" i="1"/>
  <c r="X32" i="1"/>
  <c r="W32" i="1"/>
  <c r="V32" i="1"/>
  <c r="U32" i="1"/>
  <c r="T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B32" i="1"/>
  <c r="A32" i="1"/>
  <c r="AX31" i="1"/>
  <c r="AW31" i="1"/>
  <c r="AV31" i="1"/>
  <c r="AU31" i="1"/>
  <c r="AT31" i="1"/>
  <c r="AS31" i="1"/>
  <c r="AR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Z31" i="1"/>
  <c r="Y31" i="1"/>
  <c r="X31" i="1"/>
  <c r="W31" i="1"/>
  <c r="V31" i="1"/>
  <c r="U31" i="1"/>
  <c r="T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31" i="1"/>
  <c r="B31" i="1" s="1"/>
  <c r="AX30" i="1"/>
  <c r="AW30" i="1"/>
  <c r="AV30" i="1"/>
  <c r="AU30" i="1"/>
  <c r="AT30" i="1"/>
  <c r="AS30" i="1"/>
  <c r="AR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Z30" i="1"/>
  <c r="Y30" i="1"/>
  <c r="X30" i="1"/>
  <c r="W30" i="1"/>
  <c r="V30" i="1"/>
  <c r="U30" i="1"/>
  <c r="T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30" i="1"/>
  <c r="B30" i="1" s="1"/>
  <c r="AX29" i="1"/>
  <c r="AW29" i="1"/>
  <c r="AV29" i="1"/>
  <c r="AU29" i="1"/>
  <c r="AT29" i="1"/>
  <c r="AS29" i="1"/>
  <c r="AR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Z29" i="1"/>
  <c r="Y29" i="1"/>
  <c r="X29" i="1"/>
  <c r="W29" i="1"/>
  <c r="V29" i="1"/>
  <c r="U29" i="1"/>
  <c r="T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X28" i="1"/>
  <c r="AW28" i="1"/>
  <c r="AV28" i="1"/>
  <c r="AU28" i="1"/>
  <c r="AT28" i="1"/>
  <c r="AS28" i="1"/>
  <c r="AR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Z28" i="1"/>
  <c r="Y28" i="1"/>
  <c r="X28" i="1"/>
  <c r="W28" i="1"/>
  <c r="V28" i="1"/>
  <c r="U28" i="1"/>
  <c r="T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28" i="1"/>
  <c r="B28" i="1" s="1"/>
  <c r="AX27" i="1"/>
  <c r="AW27" i="1"/>
  <c r="AV27" i="1"/>
  <c r="AU27" i="1"/>
  <c r="AT27" i="1"/>
  <c r="AS27" i="1"/>
  <c r="AR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Z27" i="1"/>
  <c r="Y27" i="1"/>
  <c r="X27" i="1"/>
  <c r="W27" i="1"/>
  <c r="V27" i="1"/>
  <c r="U27" i="1"/>
  <c r="T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27" i="1"/>
  <c r="B27" i="1" s="1"/>
  <c r="AX26" i="1"/>
  <c r="AW26" i="1"/>
  <c r="AV26" i="1"/>
  <c r="AU26" i="1"/>
  <c r="AT26" i="1"/>
  <c r="AS26" i="1"/>
  <c r="AR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Z26" i="1"/>
  <c r="Y26" i="1"/>
  <c r="X26" i="1"/>
  <c r="W26" i="1"/>
  <c r="V26" i="1"/>
  <c r="U26" i="1"/>
  <c r="T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26" i="1"/>
  <c r="B26" i="1" s="1"/>
  <c r="AX25" i="1"/>
  <c r="AW25" i="1"/>
  <c r="AV25" i="1"/>
  <c r="AU25" i="1"/>
  <c r="AT25" i="1"/>
  <c r="AS25" i="1"/>
  <c r="AR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Z25" i="1"/>
  <c r="Y25" i="1"/>
  <c r="X25" i="1"/>
  <c r="W25" i="1"/>
  <c r="V25" i="1"/>
  <c r="U25" i="1"/>
  <c r="T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25" i="1"/>
  <c r="B25" i="1" s="1"/>
  <c r="AX24" i="1"/>
  <c r="AW24" i="1"/>
  <c r="AV24" i="1"/>
  <c r="AU24" i="1"/>
  <c r="AT24" i="1"/>
  <c r="AS24" i="1"/>
  <c r="AR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Z24" i="1"/>
  <c r="Y24" i="1"/>
  <c r="X24" i="1"/>
  <c r="W24" i="1"/>
  <c r="V24" i="1"/>
  <c r="U24" i="1"/>
  <c r="T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X23" i="1"/>
  <c r="AW23" i="1"/>
  <c r="AV23" i="1"/>
  <c r="AU23" i="1"/>
  <c r="AT23" i="1"/>
  <c r="AS23" i="1"/>
  <c r="AR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Z23" i="1"/>
  <c r="Y23" i="1"/>
  <c r="X23" i="1"/>
  <c r="W23" i="1"/>
  <c r="V23" i="1"/>
  <c r="U23" i="1"/>
  <c r="T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X22" i="1"/>
  <c r="AW22" i="1"/>
  <c r="AV22" i="1"/>
  <c r="AU22" i="1"/>
  <c r="AT22" i="1"/>
  <c r="AS22" i="1"/>
  <c r="AR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Z22" i="1"/>
  <c r="Y22" i="1"/>
  <c r="X22" i="1"/>
  <c r="W22" i="1"/>
  <c r="V22" i="1"/>
  <c r="U22" i="1"/>
  <c r="T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22" i="1"/>
  <c r="B22" i="1" s="1"/>
  <c r="AX21" i="1"/>
  <c r="AW21" i="1"/>
  <c r="AV21" i="1"/>
  <c r="AU21" i="1"/>
  <c r="AT21" i="1"/>
  <c r="AS21" i="1"/>
  <c r="AR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Z21" i="1"/>
  <c r="Y21" i="1"/>
  <c r="X21" i="1"/>
  <c r="W21" i="1"/>
  <c r="V21" i="1"/>
  <c r="U21" i="1"/>
  <c r="T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21" i="1"/>
  <c r="B21" i="1" s="1"/>
  <c r="AX20" i="1"/>
  <c r="AW20" i="1"/>
  <c r="AV20" i="1"/>
  <c r="AU20" i="1"/>
  <c r="AT20" i="1"/>
  <c r="AS20" i="1"/>
  <c r="AR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Z20" i="1"/>
  <c r="Y20" i="1"/>
  <c r="X20" i="1"/>
  <c r="W20" i="1"/>
  <c r="V20" i="1"/>
  <c r="U20" i="1"/>
  <c r="T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B20" i="1"/>
  <c r="A20" i="1"/>
  <c r="AX19" i="1"/>
  <c r="AW19" i="1"/>
  <c r="AV19" i="1"/>
  <c r="AU19" i="1"/>
  <c r="AT19" i="1"/>
  <c r="AS19" i="1"/>
  <c r="AR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Z19" i="1"/>
  <c r="Y19" i="1"/>
  <c r="X19" i="1"/>
  <c r="W19" i="1"/>
  <c r="V19" i="1"/>
  <c r="U19" i="1"/>
  <c r="T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19" i="1"/>
  <c r="B19" i="1" s="1"/>
  <c r="AX18" i="1"/>
  <c r="AW18" i="1"/>
  <c r="AV18" i="1"/>
  <c r="AU18" i="1"/>
  <c r="AT18" i="1"/>
  <c r="AS18" i="1"/>
  <c r="AR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Z18" i="1"/>
  <c r="Y18" i="1"/>
  <c r="X18" i="1"/>
  <c r="W18" i="1"/>
  <c r="V18" i="1"/>
  <c r="U18" i="1"/>
  <c r="T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18" i="1"/>
  <c r="B18" i="1" s="1"/>
  <c r="AX17" i="1"/>
  <c r="AW17" i="1"/>
  <c r="AV17" i="1"/>
  <c r="AU17" i="1"/>
  <c r="AT17" i="1"/>
  <c r="AS17" i="1"/>
  <c r="AR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Z17" i="1"/>
  <c r="Y17" i="1"/>
  <c r="X17" i="1"/>
  <c r="W17" i="1"/>
  <c r="V17" i="1"/>
  <c r="U17" i="1"/>
  <c r="T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17" i="1"/>
  <c r="B17" i="1" s="1"/>
  <c r="AX16" i="1"/>
  <c r="AW16" i="1"/>
  <c r="AV16" i="1"/>
  <c r="AU16" i="1"/>
  <c r="AT16" i="1"/>
  <c r="AS16" i="1"/>
  <c r="AR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Z16" i="1"/>
  <c r="Y16" i="1"/>
  <c r="X16" i="1"/>
  <c r="W16" i="1"/>
  <c r="V16" i="1"/>
  <c r="U16" i="1"/>
  <c r="T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16" i="1"/>
  <c r="B16" i="1" s="1"/>
  <c r="AX15" i="1"/>
  <c r="AW15" i="1"/>
  <c r="AV15" i="1"/>
  <c r="AU15" i="1"/>
  <c r="AT15" i="1"/>
  <c r="AS15" i="1"/>
  <c r="AR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Z15" i="1"/>
  <c r="Y15" i="1"/>
  <c r="X15" i="1"/>
  <c r="W15" i="1"/>
  <c r="V15" i="1"/>
  <c r="U15" i="1"/>
  <c r="T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B15" i="1"/>
  <c r="A15" i="1"/>
  <c r="AX14" i="1"/>
  <c r="AW14" i="1"/>
  <c r="AV14" i="1"/>
  <c r="AU14" i="1"/>
  <c r="AT14" i="1"/>
  <c r="AS14" i="1"/>
  <c r="AR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Z14" i="1"/>
  <c r="Y14" i="1"/>
  <c r="X14" i="1"/>
  <c r="W14" i="1"/>
  <c r="V14" i="1"/>
  <c r="U14" i="1"/>
  <c r="T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X13" i="1"/>
  <c r="AW13" i="1"/>
  <c r="AV13" i="1"/>
  <c r="AU13" i="1"/>
  <c r="AT13" i="1"/>
  <c r="AS13" i="1"/>
  <c r="AR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Z13" i="1"/>
  <c r="Y13" i="1"/>
  <c r="X13" i="1"/>
  <c r="W13" i="1"/>
  <c r="V13" i="1"/>
  <c r="U13" i="1"/>
  <c r="T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13" i="1"/>
  <c r="B13" i="1" s="1"/>
  <c r="AX12" i="1"/>
  <c r="AW12" i="1"/>
  <c r="AV12" i="1"/>
  <c r="AU12" i="1"/>
  <c r="AT12" i="1"/>
  <c r="AS12" i="1"/>
  <c r="AR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Z12" i="1"/>
  <c r="Y12" i="1"/>
  <c r="X12" i="1"/>
  <c r="W12" i="1"/>
  <c r="V12" i="1"/>
  <c r="U12" i="1"/>
  <c r="T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12" i="1"/>
  <c r="B12" i="1" s="1"/>
  <c r="AX11" i="1"/>
  <c r="AW11" i="1"/>
  <c r="AV11" i="1"/>
  <c r="AU11" i="1"/>
  <c r="AT11" i="1"/>
  <c r="AS11" i="1"/>
  <c r="AR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Z11" i="1"/>
  <c r="Y11" i="1"/>
  <c r="X11" i="1"/>
  <c r="W11" i="1"/>
  <c r="V11" i="1"/>
  <c r="U11" i="1"/>
  <c r="T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X10" i="1"/>
  <c r="AW10" i="1"/>
  <c r="AV10" i="1"/>
  <c r="AU10" i="1"/>
  <c r="AT10" i="1"/>
  <c r="AS10" i="1"/>
  <c r="AR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Z10" i="1"/>
  <c r="Y10" i="1"/>
  <c r="X10" i="1"/>
  <c r="W10" i="1"/>
  <c r="V10" i="1"/>
  <c r="U10" i="1"/>
  <c r="T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10" i="1"/>
  <c r="B10" i="1" s="1"/>
  <c r="AX9" i="1"/>
  <c r="AW9" i="1"/>
  <c r="AV9" i="1"/>
  <c r="AU9" i="1"/>
  <c r="AT9" i="1"/>
  <c r="AS9" i="1"/>
  <c r="AR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Z9" i="1"/>
  <c r="Y9" i="1"/>
  <c r="X9" i="1"/>
  <c r="W9" i="1"/>
  <c r="V9" i="1"/>
  <c r="U9" i="1"/>
  <c r="T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9" i="1"/>
  <c r="B9" i="1" s="1"/>
  <c r="AX8" i="1"/>
  <c r="AW8" i="1"/>
  <c r="AV8" i="1"/>
  <c r="AU8" i="1"/>
  <c r="AT8" i="1"/>
  <c r="AS8" i="1"/>
  <c r="AR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8" i="1"/>
  <c r="B8" i="1" s="1"/>
  <c r="AX7" i="1"/>
  <c r="AW7" i="1"/>
  <c r="AV7" i="1"/>
  <c r="AU7" i="1"/>
  <c r="AT7" i="1"/>
  <c r="AS7" i="1"/>
  <c r="AR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B7" i="1"/>
  <c r="A7" i="1"/>
  <c r="AX6" i="1"/>
  <c r="AW6" i="1"/>
  <c r="AV6" i="1"/>
  <c r="AU6" i="1"/>
  <c r="AT6" i="1"/>
  <c r="AS6" i="1"/>
  <c r="AR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C67" i="1" l="1"/>
  <c r="C68" i="1"/>
  <c r="C32" i="1"/>
  <c r="C20" i="1"/>
  <c r="O13" i="2"/>
  <c r="T12" i="2"/>
  <c r="AQ7" i="1" s="1"/>
  <c r="C52" i="1"/>
  <c r="C35" i="1"/>
  <c r="L15" i="2"/>
  <c r="Q14" i="2"/>
  <c r="AA9" i="1" s="1"/>
  <c r="U41" i="2"/>
  <c r="K54" i="1"/>
  <c r="C91" i="1"/>
  <c r="C41" i="1"/>
  <c r="M14" i="2"/>
  <c r="C89" i="1"/>
  <c r="C15" i="1"/>
  <c r="C80" i="1"/>
  <c r="Q13" i="2"/>
  <c r="AA8" i="1" s="1"/>
  <c r="O14" i="2" l="1"/>
  <c r="T13" i="2"/>
  <c r="AQ8" i="1" s="1"/>
  <c r="C36" i="1"/>
  <c r="M15" i="2"/>
  <c r="R14" i="2"/>
  <c r="S9" i="1" s="1"/>
  <c r="Q15" i="2"/>
  <c r="AA10" i="1" s="1"/>
  <c r="L16" i="2"/>
  <c r="Q16" i="2" l="1"/>
  <c r="AA11" i="1" s="1"/>
  <c r="L17" i="2"/>
  <c r="M16" i="2"/>
  <c r="R15" i="2"/>
  <c r="S10" i="1" s="1"/>
  <c r="O15" i="2"/>
  <c r="T14" i="2"/>
  <c r="AQ9" i="1" s="1"/>
  <c r="O16" i="2" l="1"/>
  <c r="T15" i="2"/>
  <c r="AQ10" i="1" s="1"/>
  <c r="R16" i="2"/>
  <c r="S11" i="1" s="1"/>
  <c r="M17" i="2"/>
  <c r="L18" i="2"/>
  <c r="Q17" i="2"/>
  <c r="AA12" i="1" s="1"/>
  <c r="L19" i="2" l="1"/>
  <c r="Q18" i="2"/>
  <c r="AA13" i="1" s="1"/>
  <c r="R17" i="2"/>
  <c r="S12" i="1" s="1"/>
  <c r="M18" i="2"/>
  <c r="O17" i="2"/>
  <c r="T16" i="2"/>
  <c r="AQ11" i="1" s="1"/>
  <c r="M19" i="2" l="1"/>
  <c r="R18" i="2"/>
  <c r="S13" i="1" s="1"/>
  <c r="O18" i="2"/>
  <c r="T17" i="2"/>
  <c r="AQ12" i="1" s="1"/>
  <c r="Q19" i="2"/>
  <c r="AA14" i="1" s="1"/>
  <c r="L20" i="2"/>
  <c r="L21" i="2" l="1"/>
  <c r="Q20" i="2"/>
  <c r="AA15" i="1" s="1"/>
  <c r="O19" i="2"/>
  <c r="T18" i="2"/>
  <c r="AQ13" i="1" s="1"/>
  <c r="R19" i="2"/>
  <c r="S14" i="1" s="1"/>
  <c r="M20" i="2"/>
  <c r="M21" i="2" l="1"/>
  <c r="R20" i="2"/>
  <c r="S15" i="1" s="1"/>
  <c r="O20" i="2"/>
  <c r="T19" i="2"/>
  <c r="AQ14" i="1" s="1"/>
  <c r="L22" i="2"/>
  <c r="Q21" i="2"/>
  <c r="AA16" i="1" s="1"/>
  <c r="L23" i="2" l="1"/>
  <c r="Q22" i="2"/>
  <c r="AA17" i="1" s="1"/>
  <c r="O21" i="2"/>
  <c r="T20" i="2"/>
  <c r="AQ15" i="1" s="1"/>
  <c r="M22" i="2"/>
  <c r="R21" i="2"/>
  <c r="S16" i="1" s="1"/>
  <c r="R22" i="2" l="1"/>
  <c r="S17" i="1" s="1"/>
  <c r="M23" i="2"/>
  <c r="O22" i="2"/>
  <c r="T21" i="2"/>
  <c r="AQ16" i="1" s="1"/>
  <c r="L24" i="2"/>
  <c r="Q23" i="2"/>
  <c r="AA18" i="1" s="1"/>
  <c r="L25" i="2" l="1"/>
  <c r="Q24" i="2"/>
  <c r="AA19" i="1" s="1"/>
  <c r="M24" i="2"/>
  <c r="R23" i="2"/>
  <c r="S18" i="1" s="1"/>
  <c r="O23" i="2"/>
  <c r="T22" i="2"/>
  <c r="AQ17" i="1" s="1"/>
  <c r="M25" i="2" l="1"/>
  <c r="R24" i="2"/>
  <c r="S19" i="1" s="1"/>
  <c r="O24" i="2"/>
  <c r="T23" i="2"/>
  <c r="AQ18" i="1" s="1"/>
  <c r="Q25" i="2"/>
  <c r="AA20" i="1" s="1"/>
  <c r="L26" i="2"/>
  <c r="L27" i="2" l="1"/>
  <c r="Q26" i="2"/>
  <c r="AA21" i="1" s="1"/>
  <c r="O25" i="2"/>
  <c r="T24" i="2"/>
  <c r="AQ19" i="1" s="1"/>
  <c r="R25" i="2"/>
  <c r="S20" i="1" s="1"/>
  <c r="M26" i="2"/>
  <c r="M27" i="2" l="1"/>
  <c r="R26" i="2"/>
  <c r="S21" i="1" s="1"/>
  <c r="O26" i="2"/>
  <c r="T25" i="2"/>
  <c r="AQ20" i="1" s="1"/>
  <c r="L28" i="2"/>
  <c r="Q27" i="2"/>
  <c r="AA22" i="1" s="1"/>
  <c r="Q28" i="2" l="1"/>
  <c r="AA23" i="1" s="1"/>
  <c r="L29" i="2"/>
  <c r="O27" i="2"/>
  <c r="T26" i="2"/>
  <c r="AQ21" i="1" s="1"/>
  <c r="M28" i="2"/>
  <c r="R27" i="2"/>
  <c r="S22" i="1" s="1"/>
  <c r="R28" i="2" l="1"/>
  <c r="S23" i="1" s="1"/>
  <c r="M29" i="2"/>
  <c r="O28" i="2"/>
  <c r="T27" i="2"/>
  <c r="AQ22" i="1" s="1"/>
  <c r="L30" i="2"/>
  <c r="Q29" i="2"/>
  <c r="AA24" i="1" s="1"/>
  <c r="L31" i="2" l="1"/>
  <c r="Q30" i="2"/>
  <c r="AA25" i="1" s="1"/>
  <c r="O29" i="2"/>
  <c r="T28" i="2"/>
  <c r="AQ23" i="1" s="1"/>
  <c r="R29" i="2"/>
  <c r="S24" i="1" s="1"/>
  <c r="M30" i="2"/>
  <c r="M31" i="2" l="1"/>
  <c r="R30" i="2"/>
  <c r="S25" i="1" s="1"/>
  <c r="T29" i="2"/>
  <c r="AQ24" i="1" s="1"/>
  <c r="O30" i="2"/>
  <c r="Q31" i="2"/>
  <c r="AA26" i="1" s="1"/>
  <c r="L32" i="2"/>
  <c r="Q32" i="2" l="1"/>
  <c r="AA27" i="1" s="1"/>
  <c r="L33" i="2"/>
  <c r="O31" i="2"/>
  <c r="T30" i="2"/>
  <c r="AQ25" i="1" s="1"/>
  <c r="M32" i="2"/>
  <c r="R31" i="2"/>
  <c r="S26" i="1" s="1"/>
  <c r="R32" i="2" l="1"/>
  <c r="S27" i="1" s="1"/>
  <c r="M33" i="2"/>
  <c r="O32" i="2"/>
  <c r="T31" i="2"/>
  <c r="AQ26" i="1" s="1"/>
  <c r="L34" i="2"/>
  <c r="Q33" i="2"/>
  <c r="AA28" i="1" s="1"/>
  <c r="O33" i="2" l="1"/>
  <c r="T32" i="2"/>
  <c r="AQ27" i="1" s="1"/>
  <c r="M34" i="2"/>
  <c r="R33" i="2"/>
  <c r="S28" i="1" s="1"/>
  <c r="L35" i="2"/>
  <c r="Q34" i="2"/>
  <c r="AA29" i="1" s="1"/>
  <c r="Q35" i="2" l="1"/>
  <c r="AA30" i="1" s="1"/>
  <c r="L36" i="2"/>
  <c r="M35" i="2"/>
  <c r="R34" i="2"/>
  <c r="S29" i="1" s="1"/>
  <c r="O34" i="2"/>
  <c r="T33" i="2"/>
  <c r="AQ28" i="1" s="1"/>
  <c r="O35" i="2" l="1"/>
  <c r="T34" i="2"/>
  <c r="AQ29" i="1" s="1"/>
  <c r="M36" i="2"/>
  <c r="R35" i="2"/>
  <c r="S30" i="1" s="1"/>
  <c r="L37" i="2"/>
  <c r="Q36" i="2"/>
  <c r="AA31" i="1" s="1"/>
  <c r="M37" i="2" l="1"/>
  <c r="R36" i="2"/>
  <c r="S31" i="1" s="1"/>
  <c r="L38" i="2"/>
  <c r="Q37" i="2"/>
  <c r="AA32" i="1" s="1"/>
  <c r="O36" i="2"/>
  <c r="T35" i="2"/>
  <c r="AQ30" i="1" s="1"/>
  <c r="L39" i="2" l="1"/>
  <c r="Q38" i="2"/>
  <c r="AA33" i="1" s="1"/>
  <c r="O37" i="2"/>
  <c r="T36" i="2"/>
  <c r="AQ31" i="1" s="1"/>
  <c r="M38" i="2"/>
  <c r="R37" i="2"/>
  <c r="S32" i="1" s="1"/>
  <c r="R38" i="2" l="1"/>
  <c r="S33" i="1" s="1"/>
  <c r="M39" i="2"/>
  <c r="O38" i="2"/>
  <c r="T37" i="2"/>
  <c r="AQ32" i="1" s="1"/>
  <c r="L40" i="2"/>
  <c r="Q39" i="2"/>
  <c r="AA34" i="1" s="1"/>
  <c r="L41" i="2" l="1"/>
  <c r="Q40" i="2"/>
  <c r="AA35" i="1" s="1"/>
  <c r="O39" i="2"/>
  <c r="T38" i="2"/>
  <c r="AQ33" i="1" s="1"/>
  <c r="M40" i="2"/>
  <c r="R39" i="2"/>
  <c r="S34" i="1" s="1"/>
  <c r="M41" i="2" l="1"/>
  <c r="R40" i="2"/>
  <c r="S35" i="1" s="1"/>
  <c r="O40" i="2"/>
  <c r="T39" i="2"/>
  <c r="AQ34" i="1" s="1"/>
  <c r="Q41" i="2"/>
  <c r="AA36" i="1" s="1"/>
  <c r="L42" i="2"/>
  <c r="L43" i="2" l="1"/>
  <c r="Q42" i="2"/>
  <c r="AA37" i="1" s="1"/>
  <c r="O41" i="2"/>
  <c r="T40" i="2"/>
  <c r="AQ35" i="1" s="1"/>
  <c r="R41" i="2"/>
  <c r="S36" i="1" s="1"/>
  <c r="M42" i="2"/>
  <c r="M43" i="2" l="1"/>
  <c r="R42" i="2"/>
  <c r="S37" i="1" s="1"/>
  <c r="O42" i="2"/>
  <c r="T41" i="2"/>
  <c r="AQ36" i="1" s="1"/>
  <c r="L44" i="2"/>
  <c r="Q43" i="2"/>
  <c r="AA38" i="1" s="1"/>
  <c r="Q44" i="2" l="1"/>
  <c r="AA39" i="1" s="1"/>
  <c r="L45" i="2"/>
  <c r="O43" i="2"/>
  <c r="T42" i="2"/>
  <c r="AQ37" i="1" s="1"/>
  <c r="M44" i="2"/>
  <c r="R43" i="2"/>
  <c r="S38" i="1" s="1"/>
  <c r="R44" i="2" l="1"/>
  <c r="S39" i="1" s="1"/>
  <c r="M45" i="2"/>
  <c r="O44" i="2"/>
  <c r="T43" i="2"/>
  <c r="AQ38" i="1" s="1"/>
  <c r="L46" i="2"/>
  <c r="Q45" i="2"/>
  <c r="AA40" i="1" s="1"/>
  <c r="L47" i="2" l="1"/>
  <c r="Q46" i="2"/>
  <c r="AA41" i="1" s="1"/>
  <c r="O45" i="2"/>
  <c r="T44" i="2"/>
  <c r="AQ39" i="1" s="1"/>
  <c r="R45" i="2"/>
  <c r="S40" i="1" s="1"/>
  <c r="M46" i="2"/>
  <c r="M47" i="2" l="1"/>
  <c r="R46" i="2"/>
  <c r="S41" i="1" s="1"/>
  <c r="T45" i="2"/>
  <c r="AQ40" i="1" s="1"/>
  <c r="O46" i="2"/>
  <c r="Q47" i="2"/>
  <c r="AA42" i="1" s="1"/>
  <c r="L48" i="2"/>
  <c r="Q48" i="2" l="1"/>
  <c r="AA43" i="1" s="1"/>
  <c r="L49" i="2"/>
  <c r="O47" i="2"/>
  <c r="T46" i="2"/>
  <c r="AQ41" i="1" s="1"/>
  <c r="M48" i="2"/>
  <c r="R47" i="2"/>
  <c r="S42" i="1" s="1"/>
  <c r="R48" i="2" l="1"/>
  <c r="S43" i="1" s="1"/>
  <c r="M49" i="2"/>
  <c r="O48" i="2"/>
  <c r="T47" i="2"/>
  <c r="AQ42" i="1" s="1"/>
  <c r="L50" i="2"/>
  <c r="Q49" i="2"/>
  <c r="AA44" i="1" s="1"/>
  <c r="Q50" i="2" l="1"/>
  <c r="AA45" i="1" s="1"/>
  <c r="L51" i="2"/>
  <c r="O49" i="2"/>
  <c r="T48" i="2"/>
  <c r="AQ43" i="1" s="1"/>
  <c r="M50" i="2"/>
  <c r="R49" i="2"/>
  <c r="S44" i="1" s="1"/>
  <c r="M51" i="2" l="1"/>
  <c r="R50" i="2"/>
  <c r="S45" i="1" s="1"/>
  <c r="Q51" i="2"/>
  <c r="AA46" i="1" s="1"/>
  <c r="L52" i="2"/>
  <c r="O50" i="2"/>
  <c r="T49" i="2"/>
  <c r="AQ44" i="1" s="1"/>
  <c r="O51" i="2" l="1"/>
  <c r="T50" i="2"/>
  <c r="AQ45" i="1" s="1"/>
  <c r="L53" i="2"/>
  <c r="Q52" i="2"/>
  <c r="AA47" i="1" s="1"/>
  <c r="R51" i="2"/>
  <c r="S46" i="1" s="1"/>
  <c r="M52" i="2"/>
  <c r="M53" i="2" l="1"/>
  <c r="R52" i="2"/>
  <c r="S47" i="1" s="1"/>
  <c r="L54" i="2"/>
  <c r="Q53" i="2"/>
  <c r="AA48" i="1" s="1"/>
  <c r="O52" i="2"/>
  <c r="T51" i="2"/>
  <c r="AQ46" i="1" s="1"/>
  <c r="L55" i="2" l="1"/>
  <c r="Q54" i="2"/>
  <c r="AA49" i="1" s="1"/>
  <c r="O53" i="2"/>
  <c r="T52" i="2"/>
  <c r="AQ47" i="1" s="1"/>
  <c r="M54" i="2"/>
  <c r="R53" i="2"/>
  <c r="S48" i="1" s="1"/>
  <c r="R54" i="2" l="1"/>
  <c r="S49" i="1" s="1"/>
  <c r="M55" i="2"/>
  <c r="O54" i="2"/>
  <c r="T53" i="2"/>
  <c r="AQ48" i="1" s="1"/>
  <c r="L56" i="2"/>
  <c r="Q55" i="2"/>
  <c r="AA50" i="1" s="1"/>
  <c r="L57" i="2" l="1"/>
  <c r="Q56" i="2"/>
  <c r="AA51" i="1" s="1"/>
  <c r="O55" i="2"/>
  <c r="T54" i="2"/>
  <c r="AQ49" i="1" s="1"/>
  <c r="M56" i="2"/>
  <c r="R55" i="2"/>
  <c r="S50" i="1" s="1"/>
  <c r="M57" i="2" l="1"/>
  <c r="R56" i="2"/>
  <c r="S51" i="1" s="1"/>
  <c r="O56" i="2"/>
  <c r="T55" i="2"/>
  <c r="AQ50" i="1" s="1"/>
  <c r="Q57" i="2"/>
  <c r="AA52" i="1" s="1"/>
  <c r="L58" i="2"/>
  <c r="L59" i="2" l="1"/>
  <c r="Q58" i="2"/>
  <c r="AA53" i="1" s="1"/>
  <c r="O57" i="2"/>
  <c r="T56" i="2"/>
  <c r="AQ51" i="1" s="1"/>
  <c r="R57" i="2"/>
  <c r="S52" i="1" s="1"/>
  <c r="M58" i="2"/>
  <c r="M59" i="2" l="1"/>
  <c r="R58" i="2"/>
  <c r="S53" i="1" s="1"/>
  <c r="O58" i="2"/>
  <c r="T57" i="2"/>
  <c r="AQ52" i="1" s="1"/>
  <c r="L60" i="2"/>
  <c r="Q59" i="2"/>
  <c r="AA54" i="1" s="1"/>
  <c r="Q60" i="2" l="1"/>
  <c r="AA55" i="1" s="1"/>
  <c r="L61" i="2"/>
  <c r="O59" i="2"/>
  <c r="T58" i="2"/>
  <c r="AQ53" i="1" s="1"/>
  <c r="M60" i="2"/>
  <c r="R59" i="2"/>
  <c r="S54" i="1" s="1"/>
  <c r="R60" i="2" l="1"/>
  <c r="S55" i="1" s="1"/>
  <c r="M61" i="2"/>
  <c r="O60" i="2"/>
  <c r="T59" i="2"/>
  <c r="AQ54" i="1" s="1"/>
  <c r="L62" i="2"/>
  <c r="Q61" i="2"/>
  <c r="AA56" i="1" s="1"/>
  <c r="L63" i="2" l="1"/>
  <c r="Q62" i="2"/>
  <c r="AA57" i="1" s="1"/>
  <c r="O61" i="2"/>
  <c r="T60" i="2"/>
  <c r="AQ55" i="1" s="1"/>
  <c r="R61" i="2"/>
  <c r="S56" i="1" s="1"/>
  <c r="M62" i="2"/>
  <c r="O62" i="2" l="1"/>
  <c r="T61" i="2"/>
  <c r="AQ56" i="1" s="1"/>
  <c r="M63" i="2"/>
  <c r="R62" i="2"/>
  <c r="S57" i="1" s="1"/>
  <c r="Q63" i="2"/>
  <c r="AA58" i="1" s="1"/>
  <c r="L64" i="2"/>
  <c r="M64" i="2" l="1"/>
  <c r="R63" i="2"/>
  <c r="S58" i="1" s="1"/>
  <c r="Q64" i="2"/>
  <c r="AA59" i="1" s="1"/>
  <c r="L65" i="2"/>
  <c r="O63" i="2"/>
  <c r="T62" i="2"/>
  <c r="AQ57" i="1" s="1"/>
  <c r="L66" i="2" l="1"/>
  <c r="Q65" i="2"/>
  <c r="AA60" i="1" s="1"/>
  <c r="O64" i="2"/>
  <c r="T63" i="2"/>
  <c r="AQ58" i="1" s="1"/>
  <c r="R64" i="2"/>
  <c r="S59" i="1" s="1"/>
  <c r="M65" i="2"/>
  <c r="M66" i="2" l="1"/>
  <c r="R65" i="2"/>
  <c r="S60" i="1" s="1"/>
  <c r="O65" i="2"/>
  <c r="T64" i="2"/>
  <c r="AQ59" i="1" s="1"/>
  <c r="L67" i="2"/>
  <c r="Q66" i="2"/>
  <c r="AA61" i="1" s="1"/>
  <c r="Q67" i="2" l="1"/>
  <c r="AA62" i="1" s="1"/>
  <c r="L68" i="2"/>
  <c r="O66" i="2"/>
  <c r="T65" i="2"/>
  <c r="AQ60" i="1" s="1"/>
  <c r="M67" i="2"/>
  <c r="R66" i="2"/>
  <c r="S61" i="1" s="1"/>
  <c r="M68" i="2" l="1"/>
  <c r="R67" i="2"/>
  <c r="S62" i="1" s="1"/>
  <c r="O67" i="2"/>
  <c r="T66" i="2"/>
  <c r="AQ61" i="1" s="1"/>
  <c r="L69" i="2"/>
  <c r="Q68" i="2"/>
  <c r="AA63" i="1" s="1"/>
  <c r="L70" i="2" l="1"/>
  <c r="Q69" i="2"/>
  <c r="AA64" i="1" s="1"/>
  <c r="O68" i="2"/>
  <c r="T67" i="2"/>
  <c r="AQ62" i="1" s="1"/>
  <c r="M69" i="2"/>
  <c r="R68" i="2"/>
  <c r="S63" i="1" s="1"/>
  <c r="O69" i="2" l="1"/>
  <c r="T68" i="2"/>
  <c r="AQ63" i="1" s="1"/>
  <c r="M70" i="2"/>
  <c r="R69" i="2"/>
  <c r="S64" i="1" s="1"/>
  <c r="L71" i="2"/>
  <c r="Q70" i="2"/>
  <c r="AA65" i="1" s="1"/>
  <c r="R70" i="2" l="1"/>
  <c r="S65" i="1" s="1"/>
  <c r="M71" i="2"/>
  <c r="L72" i="2"/>
  <c r="Q71" i="2"/>
  <c r="AA66" i="1" s="1"/>
  <c r="O70" i="2"/>
  <c r="T69" i="2"/>
  <c r="AQ64" i="1" s="1"/>
  <c r="O71" i="2" l="1"/>
  <c r="T70" i="2"/>
  <c r="AQ65" i="1" s="1"/>
  <c r="M72" i="2"/>
  <c r="R71" i="2"/>
  <c r="S66" i="1" s="1"/>
  <c r="L73" i="2"/>
  <c r="Q72" i="2"/>
  <c r="AA67" i="1" s="1"/>
  <c r="Q73" i="2" l="1"/>
  <c r="AA68" i="1" s="1"/>
  <c r="L74" i="2"/>
  <c r="M73" i="2"/>
  <c r="R72" i="2"/>
  <c r="S67" i="1" s="1"/>
  <c r="O72" i="2"/>
  <c r="T71" i="2"/>
  <c r="AQ66" i="1" s="1"/>
  <c r="O73" i="2" l="1"/>
  <c r="T72" i="2"/>
  <c r="AQ67" i="1" s="1"/>
  <c r="L75" i="2"/>
  <c r="Q74" i="2"/>
  <c r="AA69" i="1" s="1"/>
  <c r="R73" i="2"/>
  <c r="S68" i="1" s="1"/>
  <c r="M74" i="2"/>
  <c r="L76" i="2" l="1"/>
  <c r="Q75" i="2"/>
  <c r="AA70" i="1" s="1"/>
  <c r="M75" i="2"/>
  <c r="R74" i="2"/>
  <c r="S69" i="1" s="1"/>
  <c r="O74" i="2"/>
  <c r="T73" i="2"/>
  <c r="AQ68" i="1" s="1"/>
  <c r="O75" i="2" l="1"/>
  <c r="T74" i="2"/>
  <c r="AQ69" i="1" s="1"/>
  <c r="M76" i="2"/>
  <c r="R75" i="2"/>
  <c r="S70" i="1" s="1"/>
  <c r="Q76" i="2"/>
  <c r="AA71" i="1" s="1"/>
  <c r="L77" i="2"/>
  <c r="L78" i="2" l="1"/>
  <c r="Q77" i="2"/>
  <c r="AA72" i="1" s="1"/>
  <c r="R76" i="2"/>
  <c r="S71" i="1" s="1"/>
  <c r="M77" i="2"/>
  <c r="O76" i="2"/>
  <c r="T75" i="2"/>
  <c r="AQ70" i="1" s="1"/>
  <c r="O77" i="2" l="1"/>
  <c r="T76" i="2"/>
  <c r="AQ71" i="1" s="1"/>
  <c r="R77" i="2"/>
  <c r="S72" i="1" s="1"/>
  <c r="M78" i="2"/>
  <c r="L79" i="2"/>
  <c r="Q78" i="2"/>
  <c r="AA73" i="1" s="1"/>
  <c r="Q79" i="2" l="1"/>
  <c r="AA74" i="1" s="1"/>
  <c r="L80" i="2"/>
  <c r="M79" i="2"/>
  <c r="R78" i="2"/>
  <c r="S73" i="1" s="1"/>
  <c r="T77" i="2"/>
  <c r="AQ72" i="1" s="1"/>
  <c r="O78" i="2"/>
  <c r="O79" i="2" l="1"/>
  <c r="T78" i="2"/>
  <c r="AQ73" i="1" s="1"/>
  <c r="Q80" i="2"/>
  <c r="AA75" i="1" s="1"/>
  <c r="L81" i="2"/>
  <c r="R79" i="2"/>
  <c r="S74" i="1" s="1"/>
  <c r="M80" i="2"/>
  <c r="R80" i="2" l="1"/>
  <c r="S75" i="1" s="1"/>
  <c r="M81" i="2"/>
  <c r="L82" i="2"/>
  <c r="Q81" i="2"/>
  <c r="AA76" i="1" s="1"/>
  <c r="O80" i="2"/>
  <c r="T79" i="2"/>
  <c r="AQ74" i="1" s="1"/>
  <c r="M82" i="2" l="1"/>
  <c r="R81" i="2"/>
  <c r="S76" i="1" s="1"/>
  <c r="O81" i="2"/>
  <c r="T80" i="2"/>
  <c r="AQ75" i="1" s="1"/>
  <c r="Q82" i="2"/>
  <c r="AA77" i="1" s="1"/>
  <c r="L83" i="2"/>
  <c r="Q83" i="2" l="1"/>
  <c r="AA78" i="1" s="1"/>
  <c r="L84" i="2"/>
  <c r="O82" i="2"/>
  <c r="T81" i="2"/>
  <c r="AQ76" i="1" s="1"/>
  <c r="M83" i="2"/>
  <c r="R82" i="2"/>
  <c r="S77" i="1" s="1"/>
  <c r="M84" i="2" l="1"/>
  <c r="R83" i="2"/>
  <c r="S78" i="1" s="1"/>
  <c r="L85" i="2"/>
  <c r="Q84" i="2"/>
  <c r="AA79" i="1" s="1"/>
  <c r="O83" i="2"/>
  <c r="T82" i="2"/>
  <c r="AQ77" i="1" s="1"/>
  <c r="O84" i="2" l="1"/>
  <c r="T83" i="2"/>
  <c r="AQ78" i="1" s="1"/>
  <c r="L86" i="2"/>
  <c r="Q85" i="2"/>
  <c r="AA80" i="1" s="1"/>
  <c r="M85" i="2"/>
  <c r="R84" i="2"/>
  <c r="S79" i="1" s="1"/>
  <c r="M86" i="2" l="1"/>
  <c r="R85" i="2"/>
  <c r="S80" i="1" s="1"/>
  <c r="L87" i="2"/>
  <c r="Q86" i="2"/>
  <c r="AA81" i="1" s="1"/>
  <c r="O85" i="2"/>
  <c r="T84" i="2"/>
  <c r="AQ79" i="1" s="1"/>
  <c r="O86" i="2" l="1"/>
  <c r="T85" i="2"/>
  <c r="AQ80" i="1" s="1"/>
  <c r="L88" i="2"/>
  <c r="Q87" i="2"/>
  <c r="AA82" i="1" s="1"/>
  <c r="R86" i="2"/>
  <c r="S81" i="1" s="1"/>
  <c r="M87" i="2"/>
  <c r="M88" i="2" l="1"/>
  <c r="R87" i="2"/>
  <c r="S82" i="1" s="1"/>
  <c r="L89" i="2"/>
  <c r="Q88" i="2"/>
  <c r="AA83" i="1" s="1"/>
  <c r="O87" i="2"/>
  <c r="T86" i="2"/>
  <c r="AQ81" i="1" s="1"/>
  <c r="O88" i="2" l="1"/>
  <c r="T87" i="2"/>
  <c r="AQ82" i="1" s="1"/>
  <c r="Q89" i="2"/>
  <c r="AA84" i="1" s="1"/>
  <c r="L90" i="2"/>
  <c r="M89" i="2"/>
  <c r="R88" i="2"/>
  <c r="S83" i="1" s="1"/>
  <c r="R89" i="2" l="1"/>
  <c r="S84" i="1" s="1"/>
  <c r="M90" i="2"/>
  <c r="L91" i="2"/>
  <c r="Q90" i="2"/>
  <c r="AA85" i="1" s="1"/>
  <c r="O89" i="2"/>
  <c r="T88" i="2"/>
  <c r="AQ83" i="1" s="1"/>
  <c r="L92" i="2" l="1"/>
  <c r="Q91" i="2"/>
  <c r="AA86" i="1" s="1"/>
  <c r="M91" i="2"/>
  <c r="R90" i="2"/>
  <c r="S85" i="1" s="1"/>
  <c r="O90" i="2"/>
  <c r="T89" i="2"/>
  <c r="AQ84" i="1" s="1"/>
  <c r="O91" i="2" l="1"/>
  <c r="T90" i="2"/>
  <c r="AQ85" i="1" s="1"/>
  <c r="M92" i="2"/>
  <c r="R91" i="2"/>
  <c r="S86" i="1" s="1"/>
  <c r="Q92" i="2"/>
  <c r="AA87" i="1" s="1"/>
  <c r="L93" i="2"/>
  <c r="L94" i="2" l="1"/>
  <c r="Q93" i="2"/>
  <c r="AA88" i="1" s="1"/>
  <c r="R92" i="2"/>
  <c r="S87" i="1" s="1"/>
  <c r="M93" i="2"/>
  <c r="T91" i="2"/>
  <c r="AQ86" i="1" s="1"/>
  <c r="O92" i="2"/>
  <c r="O93" i="2" l="1"/>
  <c r="T92" i="2"/>
  <c r="AQ87" i="1" s="1"/>
  <c r="R93" i="2"/>
  <c r="S88" i="1" s="1"/>
  <c r="M94" i="2"/>
  <c r="L95" i="2"/>
  <c r="Q94" i="2"/>
  <c r="AA89" i="1" s="1"/>
  <c r="Q95" i="2" l="1"/>
  <c r="AA90" i="1" s="1"/>
  <c r="L96" i="2"/>
  <c r="Q96" i="2" s="1"/>
  <c r="AA91" i="1" s="1"/>
  <c r="M95" i="2"/>
  <c r="R94" i="2"/>
  <c r="S89" i="1" s="1"/>
  <c r="T93" i="2"/>
  <c r="AQ88" i="1" s="1"/>
  <c r="O94" i="2"/>
  <c r="O95" i="2" l="1"/>
  <c r="T94" i="2"/>
  <c r="AQ89" i="1" s="1"/>
  <c r="R95" i="2"/>
  <c r="S90" i="1" s="1"/>
  <c r="M96" i="2"/>
  <c r="R96" i="2" s="1"/>
  <c r="S91" i="1" s="1"/>
  <c r="O96" i="2" l="1"/>
  <c r="T96" i="2" s="1"/>
  <c r="AQ91" i="1" s="1"/>
  <c r="T95" i="2"/>
  <c r="AQ90" i="1" s="1"/>
</calcChain>
</file>

<file path=xl/sharedStrings.xml><?xml version="1.0" encoding="utf-8"?>
<sst xmlns="http://schemas.openxmlformats.org/spreadsheetml/2006/main" count="58" uniqueCount="38">
  <si>
    <t>iPA-64-F (R086W2-2)</t>
  </si>
  <si>
    <t>28 В, 0,65 А, Pвх=17 дБм, Н.Р.</t>
  </si>
  <si>
    <t>Частота, Гц</t>
  </si>
  <si>
    <t>Частота, ГГц</t>
  </si>
  <si>
    <t>Pвых, Вт</t>
  </si>
  <si>
    <t>Pвых, дБм</t>
  </si>
  <si>
    <t>Id, А</t>
  </si>
  <si>
    <t>Ig, мА</t>
  </si>
  <si>
    <t>Ку, дБ</t>
  </si>
  <si>
    <t>КПД, %</t>
  </si>
  <si>
    <t>№1</t>
  </si>
  <si>
    <t>NiPA-62-F_UG_1__2026-03-24_11-4</t>
  </si>
  <si>
    <t>ћощность на ”Ѕћ, dBm</t>
  </si>
  <si>
    <t>Gate start, ms</t>
  </si>
  <si>
    <t>Gate lenght, ms</t>
  </si>
  <si>
    <t>T, ms</t>
  </si>
  <si>
    <t>“очность подстройки, dBm</t>
  </si>
  <si>
    <t>Iпот(поко€), mA</t>
  </si>
  <si>
    <t>Uп, ¬</t>
  </si>
  <si>
    <t>Uсм, ¬</t>
  </si>
  <si>
    <t>— калибровкой</t>
  </si>
  <si>
    <t>є</t>
  </si>
  <si>
    <t>f, MHz</t>
  </si>
  <si>
    <t>P, dBm</t>
  </si>
  <si>
    <t>IG, mA</t>
  </si>
  <si>
    <t>ID, A</t>
  </si>
  <si>
    <t>Gain, dB</t>
  </si>
  <si>
    <t> ѕƒ, %</t>
  </si>
  <si>
    <t>Pвых, W</t>
  </si>
  <si>
    <t>Потери</t>
  </si>
  <si>
    <t>Q</t>
  </si>
  <si>
    <t>Ig_пок, мА</t>
  </si>
  <si>
    <t>Iпок, А</t>
  </si>
  <si>
    <t>Uп, В</t>
  </si>
  <si>
    <t>Pвх, Вт</t>
  </si>
  <si>
    <t>Мощность на УБМ, dBm</t>
  </si>
  <si>
    <t>Точность подстройки, dBm</t>
  </si>
  <si>
    <t>Iпот(покоя),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</si>
</sst>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20"/>
      <color theme="1"/>
      <name val="Calibri"/>
      <family val="2"/>
      <charset val="204"/>
      <scheme val="minor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</cellStyleXfs>
  <cellXfs count="23">
    <xf numFmtId="0" fontId="0" fillId="0" borderId="0" xfId="0"/>
    <xf numFmtId="0" fontId="2" fillId="0" borderId="0" xfId="0" applyFont="1"/>
    <xf numFmtId="49" fontId="0" fillId="0" borderId="0" xfId="0" applyNumberFormat="1" applyAlignment="1">
      <alignment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0" borderId="0" xfId="2" applyFont="1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0" fillId="0" borderId="4" xfId="0" applyBorder="1"/>
    <xf numFmtId="0" fontId="4" fillId="2" borderId="1" xfId="0" applyFont="1" applyFill="1" applyBorder="1" applyAlignment="1">
      <alignment horizontal="center" vertical="center"/>
    </xf>
    <xf numFmtId="0" fontId="0" fillId="0" borderId="5" xfId="0" applyBorder="1"/>
    <xf numFmtId="49" fontId="2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0">
    <cellStyle name="Обычный" xfId="0" builtinId="0"/>
    <cellStyle name="Обычный 2" xfId="1" xr:uid="{00000000-0005-0000-0000-000001000000}"/>
    <cellStyle name="Обычный 2 2" xfId="4" xr:uid="{00000000-0005-0000-0000-000004000000}"/>
    <cellStyle name="Обычный 2 2 2" xfId="8" xr:uid="{00000000-0005-0000-0000-000008000000}"/>
    <cellStyle name="Обычный 2 3" xfId="7" xr:uid="{00000000-0005-0000-0000-000007000000}"/>
    <cellStyle name="Обычный 3" xfId="2" xr:uid="{00000000-0005-0000-0000-000002000000}"/>
    <cellStyle name="Обычный 4" xfId="3" xr:uid="{00000000-0005-0000-0000-000003000000}"/>
    <cellStyle name="Обычный 4 2" xfId="6" xr:uid="{00000000-0005-0000-0000-000006000000}"/>
    <cellStyle name="Обычный 5" xfId="5" xr:uid="{00000000-0005-0000-0000-000005000000}"/>
    <cellStyle name="Обычный 5 2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strRef>
          <c:f>Графики!$A$1</c:f>
          <c:strCache>
            <c:ptCount val="1"/>
            <c:pt idx="0">
              <c:v>iPA-64-F (R086W2-2)</c:v>
            </c:pt>
          </c:strCache>
        </c:strRef>
      </c:tx>
      <c:layout>
        <c:manualLayout>
          <c:xMode val="edge"/>
          <c:yMode val="edge"/>
          <c:x val="0.2269395777205781"/>
          <c:y val="5.8796228963465189E-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669080125184694E-2"/>
          <c:y val="0.106343174699928"/>
          <c:w val="0.85898346802256853"/>
          <c:h val="0.72666979159622447"/>
        </c:manualLayout>
      </c:layout>
      <c:scatterChart>
        <c:scatterStyle val="smoothMarker"/>
        <c:varyColors val="0"/>
        <c:ser>
          <c:idx val="5"/>
          <c:order val="0"/>
          <c:tx>
            <c:strRef>
              <c:f>Графики!$C$5</c:f>
              <c:strCache>
                <c:ptCount val="1"/>
                <c:pt idx="0">
                  <c:v>№1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Графики!$C$6:$C$41</c:f>
              <c:numCache>
                <c:formatCode>0.0</c:formatCode>
                <c:ptCount val="36"/>
                <c:pt idx="0">
                  <c:v>2.2455446762829525</c:v>
                </c:pt>
                <c:pt idx="1">
                  <c:v>3.1177429080028691</c:v>
                </c:pt>
                <c:pt idx="2">
                  <c:v>4.1726946018106839</c:v>
                </c:pt>
                <c:pt idx="3">
                  <c:v>4.5963987725502164</c:v>
                </c:pt>
                <c:pt idx="4">
                  <c:v>5.0184892708719939</c:v>
                </c:pt>
                <c:pt idx="5">
                  <c:v>5.2924345995858042</c:v>
                </c:pt>
                <c:pt idx="6">
                  <c:v>5.9862548236511079</c:v>
                </c:pt>
                <c:pt idx="7">
                  <c:v>6.2229498346411205</c:v>
                </c:pt>
                <c:pt idx="8">
                  <c:v>6.9786207913086233</c:v>
                </c:pt>
                <c:pt idx="9">
                  <c:v>8.170136266119302</c:v>
                </c:pt>
                <c:pt idx="10">
                  <c:v>9.5329694224553609</c:v>
                </c:pt>
                <c:pt idx="11">
                  <c:v>10.639100221217161</c:v>
                </c:pt>
                <c:pt idx="12">
                  <c:v>10.767736021979838</c:v>
                </c:pt>
                <c:pt idx="13">
                  <c:v>11.388050910472018</c:v>
                </c:pt>
                <c:pt idx="14">
                  <c:v>11.126252202104432</c:v>
                </c:pt>
                <c:pt idx="15">
                  <c:v>11.96670541192522</c:v>
                </c:pt>
                <c:pt idx="16">
                  <c:v>11.848312494299508</c:v>
                </c:pt>
                <c:pt idx="17">
                  <c:v>10.377682988903423</c:v>
                </c:pt>
                <c:pt idx="18">
                  <c:v>9.644566235082797</c:v>
                </c:pt>
                <c:pt idx="19">
                  <c:v>8.5392671377601506</c:v>
                </c:pt>
                <c:pt idx="20">
                  <c:v>8.7335558127660473</c:v>
                </c:pt>
                <c:pt idx="21">
                  <c:v>9.4421848852754415</c:v>
                </c:pt>
                <c:pt idx="22">
                  <c:v>9.2776738256751816</c:v>
                </c:pt>
                <c:pt idx="23">
                  <c:v>9.1706052588541738</c:v>
                </c:pt>
                <c:pt idx="24">
                  <c:v>9.7234839125822905</c:v>
                </c:pt>
                <c:pt idx="25">
                  <c:v>9.8025846200095366</c:v>
                </c:pt>
                <c:pt idx="26">
                  <c:v>10.176553028857624</c:v>
                </c:pt>
                <c:pt idx="27">
                  <c:v>10.059106355665392</c:v>
                </c:pt>
                <c:pt idx="28">
                  <c:v>9.4792112086924227</c:v>
                </c:pt>
                <c:pt idx="29">
                  <c:v>10.269140598965654</c:v>
                </c:pt>
                <c:pt idx="30">
                  <c:v>10.588233252875382</c:v>
                </c:pt>
                <c:pt idx="31">
                  <c:v>10.703413410103504</c:v>
                </c:pt>
                <c:pt idx="32">
                  <c:v>11.012091213217834</c:v>
                </c:pt>
                <c:pt idx="33">
                  <c:v>11.379068190639959</c:v>
                </c:pt>
                <c:pt idx="34">
                  <c:v>12.214511422985554</c:v>
                </c:pt>
                <c:pt idx="35">
                  <c:v>12.743575608777739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03-4AC9-BBE5-0BEF5A325EA3}"/>
            </c:ext>
          </c:extLst>
        </c:ser>
        <c:ser>
          <c:idx val="6"/>
          <c:order val="1"/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Графики!$E$6:$E$41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03-4AC9-BBE5-0BEF5A325EA3}"/>
            </c:ext>
          </c:extLst>
        </c:ser>
        <c:ser>
          <c:idx val="7"/>
          <c:order val="2"/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Графики!$F$6:$F$41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03-4AC9-BBE5-0BEF5A325EA3}"/>
            </c:ext>
          </c:extLst>
        </c:ser>
        <c:ser>
          <c:idx val="8"/>
          <c:order val="3"/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Графики!$G$6:$G$41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03-4AC9-BBE5-0BEF5A325EA3}"/>
            </c:ext>
          </c:extLst>
        </c:ser>
        <c:ser>
          <c:idx val="9"/>
          <c:order val="4"/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Графики!$H$6:$H$41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803-4AC9-BBE5-0BEF5A325EA3}"/>
            </c:ext>
          </c:extLst>
        </c:ser>
        <c:ser>
          <c:idx val="10"/>
          <c:order val="5"/>
          <c:spPr>
            <a:ln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Графики!$I$6:$I$41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803-4AC9-BBE5-0BEF5A325EA3}"/>
            </c:ext>
          </c:extLst>
        </c:ser>
        <c:ser>
          <c:idx val="11"/>
          <c:order val="6"/>
          <c:spPr>
            <a:ln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Графики!$J$6:$J$41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803-4AC9-BBE5-0BEF5A325EA3}"/>
            </c:ext>
          </c:extLst>
        </c:ser>
        <c:ser>
          <c:idx val="12"/>
          <c:order val="7"/>
          <c:tx>
            <c:strRef>
              <c:f>Графики!$D$5</c:f>
              <c:strCache>
                <c:ptCount val="1"/>
                <c:pt idx="0">
                  <c:v>NiPA-62-F_UG_1__2026-03-24_11-4</c:v>
                </c:pt>
              </c:strCache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Графики!$D$6:$D$41</c:f>
              <c:numCache>
                <c:formatCode>0.0</c:formatCode>
                <c:ptCount val="36"/>
                <c:pt idx="0">
                  <c:v>8.6743609999999993</c:v>
                </c:pt>
                <c:pt idx="1">
                  <c:v>8.6432509999999994</c:v>
                </c:pt>
                <c:pt idx="2">
                  <c:v>8.4899450000000005</c:v>
                </c:pt>
                <c:pt idx="3">
                  <c:v>9.1616239999999998</c:v>
                </c:pt>
                <c:pt idx="4">
                  <c:v>9.564864</c:v>
                </c:pt>
                <c:pt idx="5">
                  <c:v>9.57775</c:v>
                </c:pt>
                <c:pt idx="6">
                  <c:v>9.3875489999999999</c:v>
                </c:pt>
                <c:pt idx="7">
                  <c:v>8.6580209999999997</c:v>
                </c:pt>
                <c:pt idx="8">
                  <c:v>8.7573290000000004</c:v>
                </c:pt>
                <c:pt idx="9">
                  <c:v>8.746848</c:v>
                </c:pt>
                <c:pt idx="10">
                  <c:v>8.6077239999999993</c:v>
                </c:pt>
                <c:pt idx="11">
                  <c:v>8.4104080000000003</c:v>
                </c:pt>
                <c:pt idx="12">
                  <c:v>8.3978649999999995</c:v>
                </c:pt>
                <c:pt idx="13">
                  <c:v>8.9431449999999995</c:v>
                </c:pt>
                <c:pt idx="14">
                  <c:v>9.0489289999999993</c:v>
                </c:pt>
                <c:pt idx="15">
                  <c:v>9.5213420000000006</c:v>
                </c:pt>
                <c:pt idx="16">
                  <c:v>10.012318</c:v>
                </c:pt>
                <c:pt idx="17">
                  <c:v>9.5970809999999993</c:v>
                </c:pt>
                <c:pt idx="18">
                  <c:v>10.055064</c:v>
                </c:pt>
                <c:pt idx="19">
                  <c:v>9.7462029999999995</c:v>
                </c:pt>
                <c:pt idx="20">
                  <c:v>9.3568149999999992</c:v>
                </c:pt>
                <c:pt idx="21">
                  <c:v>9.283868</c:v>
                </c:pt>
                <c:pt idx="22">
                  <c:v>9.2909089999999992</c:v>
                </c:pt>
                <c:pt idx="23">
                  <c:v>8.4554340000000003</c:v>
                </c:pt>
                <c:pt idx="24">
                  <c:v>8.1624859999999995</c:v>
                </c:pt>
                <c:pt idx="25">
                  <c:v>8.241816</c:v>
                </c:pt>
                <c:pt idx="26">
                  <c:v>7.8071929999999998</c:v>
                </c:pt>
                <c:pt idx="27">
                  <c:v>7.8092509999999997</c:v>
                </c:pt>
                <c:pt idx="28">
                  <c:v>7.603631</c:v>
                </c:pt>
                <c:pt idx="29">
                  <c:v>7.106986</c:v>
                </c:pt>
                <c:pt idx="30">
                  <c:v>6.8854800000000003</c:v>
                </c:pt>
                <c:pt idx="31">
                  <c:v>6.9545370000000002</c:v>
                </c:pt>
                <c:pt idx="32">
                  <c:v>7.2946369999999998</c:v>
                </c:pt>
                <c:pt idx="33">
                  <c:v>7.351388</c:v>
                </c:pt>
                <c:pt idx="34">
                  <c:v>7.5160090000000004</c:v>
                </c:pt>
                <c:pt idx="35">
                  <c:v>7.2259789999999997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803-4AC9-BBE5-0BEF5A325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12"/>
        <c:axId val="704814512"/>
      </c:scatterChart>
      <c:valAx>
        <c:axId val="70480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c:spPr>
        </c:minorGridlines>
        <c:title>
          <c:tx>
            <c:strRef>
              <c:f>Графики!$B$4</c:f>
              <c:strCache>
                <c:ptCount val="1"/>
                <c:pt idx="0">
                  <c:v>Частота, ГГц</c:v>
                </c:pt>
              </c:strCache>
            </c:strRef>
          </c:tx>
          <c:layout>
            <c:manualLayout>
              <c:xMode val="edge"/>
              <c:yMode val="edge"/>
              <c:x val="0.39797828554545772"/>
              <c:y val="0.92237035788163135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14512"/>
        <c:crosses val="autoZero"/>
        <c:crossBetween val="midCat"/>
        <c:majorUnit val="1"/>
        <c:minorUnit val="0.5"/>
      </c:valAx>
      <c:valAx>
        <c:axId val="704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strRef>
              <c:f>Графики!$C$4</c:f>
              <c:strCache>
                <c:ptCount val="1"/>
                <c:pt idx="0">
                  <c:v>Pвых, Вт</c:v>
                </c:pt>
              </c:strCache>
            </c:strRef>
          </c:tx>
          <c:layout>
            <c:manualLayout>
              <c:xMode val="edge"/>
              <c:yMode val="edge"/>
              <c:x val="0"/>
              <c:y val="9.8643518518518533E-3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09112"/>
        <c:crosses val="autoZero"/>
        <c:crossBetween val="midCat"/>
        <c:majorUnit val="2"/>
        <c:minorUnit val="1"/>
      </c:valAx>
    </c:plotArea>
    <c:legend>
      <c:legendPos val="r"/>
      <c:layout>
        <c:manualLayout>
          <c:xMode val="edge"/>
          <c:yMode val="edge"/>
          <c:x val="0.20049021608678461"/>
          <c:y val="0.56389724416414777"/>
          <c:w val="0.30534679220936473"/>
          <c:h val="0.236770848483220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strRef>
          <c:f>Графики!$A$1</c:f>
          <c:strCache>
            <c:ptCount val="1"/>
            <c:pt idx="0">
              <c:v>iPA-64-F (R086W2-2)</c:v>
            </c:pt>
          </c:strCache>
        </c:strRef>
      </c:tx>
      <c:layout>
        <c:manualLayout>
          <c:xMode val="edge"/>
          <c:yMode val="edge"/>
          <c:x val="0.2269395777205781"/>
          <c:y val="5.8796228963465189E-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669080125184694E-2"/>
          <c:y val="0.106343174699928"/>
          <c:w val="0.85898346802256853"/>
          <c:h val="0.72666979159622447"/>
        </c:manualLayout>
      </c:layout>
      <c:scatterChart>
        <c:scatterStyle val="smoothMarker"/>
        <c:varyColors val="0"/>
        <c:ser>
          <c:idx val="5"/>
          <c:order val="0"/>
          <c:tx>
            <c:strRef>
              <c:f>Графики!$K$5</c:f>
              <c:strCache>
                <c:ptCount val="1"/>
                <c:pt idx="0">
                  <c:v>№1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Графики!$K$6:$K$41</c:f>
              <c:numCache>
                <c:formatCode>0.0</c:formatCode>
                <c:ptCount val="36"/>
                <c:pt idx="0">
                  <c:v>33.513216999999997</c:v>
                </c:pt>
                <c:pt idx="1">
                  <c:v>34.938403000000001</c:v>
                </c:pt>
                <c:pt idx="2">
                  <c:v>36.204166000000001</c:v>
                </c:pt>
                <c:pt idx="3">
                  <c:v>36.624177000000003</c:v>
                </c:pt>
                <c:pt idx="4">
                  <c:v>37.00573</c:v>
                </c:pt>
                <c:pt idx="5">
                  <c:v>37.236555000000003</c:v>
                </c:pt>
                <c:pt idx="6">
                  <c:v>37.771552</c:v>
                </c:pt>
                <c:pt idx="7">
                  <c:v>37.939962999999999</c:v>
                </c:pt>
                <c:pt idx="8">
                  <c:v>38.437696000000003</c:v>
                </c:pt>
                <c:pt idx="9">
                  <c:v>39.122292999999999</c:v>
                </c:pt>
                <c:pt idx="10">
                  <c:v>39.792282</c:v>
                </c:pt>
                <c:pt idx="11">
                  <c:v>40.269049000000003</c:v>
                </c:pt>
                <c:pt idx="12">
                  <c:v>40.321244</c:v>
                </c:pt>
                <c:pt idx="13">
                  <c:v>40.564494000000003</c:v>
                </c:pt>
                <c:pt idx="14">
                  <c:v>40.463489000000003</c:v>
                </c:pt>
                <c:pt idx="15">
                  <c:v>40.779746000000003</c:v>
                </c:pt>
                <c:pt idx="16">
                  <c:v>40.736564999999999</c:v>
                </c:pt>
                <c:pt idx="17">
                  <c:v>40.161003999999998</c:v>
                </c:pt>
                <c:pt idx="18">
                  <c:v>39.842827</c:v>
                </c:pt>
                <c:pt idx="19">
                  <c:v>39.314205999999999</c:v>
                </c:pt>
                <c:pt idx="20">
                  <c:v>39.411911000000003</c:v>
                </c:pt>
                <c:pt idx="21">
                  <c:v>39.750725000000003</c:v>
                </c:pt>
                <c:pt idx="22">
                  <c:v>39.674391</c:v>
                </c:pt>
                <c:pt idx="23">
                  <c:v>39.623980000000003</c:v>
                </c:pt>
                <c:pt idx="24">
                  <c:v>39.878219000000001</c:v>
                </c:pt>
                <c:pt idx="25">
                  <c:v>39.913406000000002</c:v>
                </c:pt>
                <c:pt idx="26">
                  <c:v>40.076006999999997</c:v>
                </c:pt>
                <c:pt idx="27">
                  <c:v>40.025593999999998</c:v>
                </c:pt>
                <c:pt idx="28">
                  <c:v>39.767721999999999</c:v>
                </c:pt>
                <c:pt idx="29">
                  <c:v>40.115341000000001</c:v>
                </c:pt>
                <c:pt idx="30">
                  <c:v>40.248235000000001</c:v>
                </c:pt>
                <c:pt idx="31">
                  <c:v>40.295223</c:v>
                </c:pt>
                <c:pt idx="32">
                  <c:v>40.418697999999999</c:v>
                </c:pt>
                <c:pt idx="33">
                  <c:v>40.561067000000001</c:v>
                </c:pt>
                <c:pt idx="34">
                  <c:v>40.868760999999999</c:v>
                </c:pt>
                <c:pt idx="35">
                  <c:v>41.052912999999997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2-4D69-AB53-1FA027227830}"/>
            </c:ext>
          </c:extLst>
        </c:ser>
        <c:ser>
          <c:idx val="6"/>
          <c:order val="1"/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Графики!$M$6:$M$41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22-4D69-AB53-1FA027227830}"/>
            </c:ext>
          </c:extLst>
        </c:ser>
        <c:ser>
          <c:idx val="7"/>
          <c:order val="2"/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Графики!$N$6:$N$41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22-4D69-AB53-1FA027227830}"/>
            </c:ext>
          </c:extLst>
        </c:ser>
        <c:ser>
          <c:idx val="8"/>
          <c:order val="3"/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Графики!$O$6:$O$41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22-4D69-AB53-1FA027227830}"/>
            </c:ext>
          </c:extLst>
        </c:ser>
        <c:ser>
          <c:idx val="9"/>
          <c:order val="4"/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Графики!$P$6:$P$41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22-4D69-AB53-1FA027227830}"/>
            </c:ext>
          </c:extLst>
        </c:ser>
        <c:ser>
          <c:idx val="10"/>
          <c:order val="5"/>
          <c:spPr>
            <a:ln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Графики!$Q$6:$Q$41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022-4D69-AB53-1FA027227830}"/>
            </c:ext>
          </c:extLst>
        </c:ser>
        <c:ser>
          <c:idx val="11"/>
          <c:order val="6"/>
          <c:spPr>
            <a:ln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Графики!$R$6:$R$41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022-4D69-AB53-1FA027227830}"/>
            </c:ext>
          </c:extLst>
        </c:ser>
        <c:ser>
          <c:idx val="12"/>
          <c:order val="7"/>
          <c:tx>
            <c:strRef>
              <c:f>Графики!$L$5</c:f>
              <c:strCache>
                <c:ptCount val="1"/>
                <c:pt idx="0">
                  <c:v>NiPA-62-F_UG_1__2026-03-24_11-4</c:v>
                </c:pt>
              </c:strCache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Графики!$L$6:$L$41</c:f>
              <c:numCache>
                <c:formatCode>0.0</c:formatCode>
                <c:ptCount val="36"/>
                <c:pt idx="0">
                  <c:v>39.382375000000003</c:v>
                </c:pt>
                <c:pt idx="1">
                  <c:v>39.366771</c:v>
                </c:pt>
                <c:pt idx="2">
                  <c:v>39.289048999999999</c:v>
                </c:pt>
                <c:pt idx="3">
                  <c:v>39.619725000000003</c:v>
                </c:pt>
                <c:pt idx="4">
                  <c:v>39.806787999999997</c:v>
                </c:pt>
                <c:pt idx="5">
                  <c:v>39.812635</c:v>
                </c:pt>
                <c:pt idx="6">
                  <c:v>39.725521999999998</c:v>
                </c:pt>
                <c:pt idx="7">
                  <c:v>39.374186000000002</c:v>
                </c:pt>
                <c:pt idx="8">
                  <c:v>39.423717000000003</c:v>
                </c:pt>
                <c:pt idx="9">
                  <c:v>39.418515999999997</c:v>
                </c:pt>
                <c:pt idx="10">
                  <c:v>39.348883000000001</c:v>
                </c:pt>
                <c:pt idx="11">
                  <c:v>39.248170999999999</c:v>
                </c:pt>
                <c:pt idx="12">
                  <c:v>39.241689000000001</c:v>
                </c:pt>
                <c:pt idx="13">
                  <c:v>39.514902999999997</c:v>
                </c:pt>
                <c:pt idx="14">
                  <c:v>39.565972000000002</c:v>
                </c:pt>
                <c:pt idx="15">
                  <c:v>39.786982000000002</c:v>
                </c:pt>
                <c:pt idx="16">
                  <c:v>40.005346000000003</c:v>
                </c:pt>
                <c:pt idx="17">
                  <c:v>39.821392000000003</c:v>
                </c:pt>
                <c:pt idx="18">
                  <c:v>40.023848000000001</c:v>
                </c:pt>
                <c:pt idx="19">
                  <c:v>39.888354999999997</c:v>
                </c:pt>
                <c:pt idx="20">
                  <c:v>39.711281</c:v>
                </c:pt>
                <c:pt idx="21">
                  <c:v>39.677289999999999</c:v>
                </c:pt>
                <c:pt idx="22">
                  <c:v>39.680582000000001</c:v>
                </c:pt>
                <c:pt idx="23">
                  <c:v>39.271358999999997</c:v>
                </c:pt>
                <c:pt idx="24">
                  <c:v>39.118223999999998</c:v>
                </c:pt>
                <c:pt idx="25">
                  <c:v>39.160229000000001</c:v>
                </c:pt>
                <c:pt idx="26">
                  <c:v>38.924948999999998</c:v>
                </c:pt>
                <c:pt idx="27">
                  <c:v>38.926093999999999</c:v>
                </c:pt>
                <c:pt idx="28">
                  <c:v>38.810209999999998</c:v>
                </c:pt>
                <c:pt idx="29">
                  <c:v>38.516855</c:v>
                </c:pt>
                <c:pt idx="30">
                  <c:v>38.379342000000001</c:v>
                </c:pt>
                <c:pt idx="31">
                  <c:v>38.422682000000002</c:v>
                </c:pt>
                <c:pt idx="32">
                  <c:v>38.630037000000002</c:v>
                </c:pt>
                <c:pt idx="33">
                  <c:v>38.663693000000002</c:v>
                </c:pt>
                <c:pt idx="34">
                  <c:v>38.759872999999999</c:v>
                </c:pt>
                <c:pt idx="35">
                  <c:v>38.588966999999997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022-4D69-AB53-1FA027227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12"/>
        <c:axId val="704814512"/>
      </c:scatterChart>
      <c:valAx>
        <c:axId val="70480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c:spPr>
        </c:minorGridlines>
        <c:title>
          <c:tx>
            <c:strRef>
              <c:f>Графики!$B$4</c:f>
              <c:strCache>
                <c:ptCount val="1"/>
                <c:pt idx="0">
                  <c:v>Частота, ГГц</c:v>
                </c:pt>
              </c:strCache>
            </c:strRef>
          </c:tx>
          <c:layout>
            <c:manualLayout>
              <c:xMode val="edge"/>
              <c:yMode val="edge"/>
              <c:x val="0.39797828554545772"/>
              <c:y val="0.92237035788163135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14512"/>
        <c:crosses val="autoZero"/>
        <c:crossBetween val="midCat"/>
        <c:majorUnit val="1"/>
        <c:minorUnit val="0.5"/>
      </c:valAx>
      <c:valAx>
        <c:axId val="704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strRef>
              <c:f>Графики!$K$4</c:f>
              <c:strCache>
                <c:ptCount val="1"/>
                <c:pt idx="0">
                  <c:v>Pвых, дБм</c:v>
                </c:pt>
              </c:strCache>
            </c:strRef>
          </c:tx>
          <c:layout>
            <c:manualLayout>
              <c:xMode val="edge"/>
              <c:yMode val="edge"/>
              <c:x val="0"/>
              <c:y val="9.8643518518518533E-3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09112"/>
        <c:crosses val="autoZero"/>
        <c:crossBetween val="midCat"/>
        <c:majorUnit val="2"/>
        <c:minorUnit val="1"/>
      </c:valAx>
    </c:plotArea>
    <c:legend>
      <c:legendPos val="r"/>
      <c:layout>
        <c:manualLayout>
          <c:xMode val="edge"/>
          <c:yMode val="edge"/>
          <c:x val="0.20049939928324739"/>
          <c:y val="0.54625003821245388"/>
          <c:w val="0.31405900086058791"/>
          <c:h val="0.213241240547628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strRef>
          <c:f>Графики!$A$1</c:f>
          <c:strCache>
            <c:ptCount val="1"/>
            <c:pt idx="0">
              <c:v>iPA-64-F (R086W2-2)</c:v>
            </c:pt>
          </c:strCache>
        </c:strRef>
      </c:tx>
      <c:layout>
        <c:manualLayout>
          <c:xMode val="edge"/>
          <c:yMode val="edge"/>
          <c:x val="0.2269395777205781"/>
          <c:y val="5.8796228963465189E-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669080125184694E-2"/>
          <c:y val="0.106343174699928"/>
          <c:w val="0.85898346802256853"/>
          <c:h val="0.72666979159622447"/>
        </c:manualLayout>
      </c:layout>
      <c:scatterChart>
        <c:scatterStyle val="smoothMarker"/>
        <c:varyColors val="0"/>
        <c:ser>
          <c:idx val="5"/>
          <c:order val="0"/>
          <c:tx>
            <c:strRef>
              <c:f>Графики!$S$5</c:f>
              <c:strCache>
                <c:ptCount val="1"/>
                <c:pt idx="0">
                  <c:v>№1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Графики!$S$6:$S$41</c:f>
              <c:numCache>
                <c:formatCode>0.0</c:formatCode>
                <c:ptCount val="36"/>
                <c:pt idx="0">
                  <c:v>0.140955</c:v>
                </c:pt>
                <c:pt idx="1">
                  <c:v>0.12731000000000001</c:v>
                </c:pt>
                <c:pt idx="2">
                  <c:v>0.114457</c:v>
                </c:pt>
                <c:pt idx="3">
                  <c:v>0.110013</c:v>
                </c:pt>
                <c:pt idx="4">
                  <c:v>0.105518</c:v>
                </c:pt>
                <c:pt idx="5">
                  <c:v>0.103911</c:v>
                </c:pt>
                <c:pt idx="6">
                  <c:v>0.104119</c:v>
                </c:pt>
                <c:pt idx="7">
                  <c:v>0.10525900000000001</c:v>
                </c:pt>
                <c:pt idx="8">
                  <c:v>0.110634</c:v>
                </c:pt>
                <c:pt idx="9">
                  <c:v>0.119502</c:v>
                </c:pt>
                <c:pt idx="10">
                  <c:v>0.12764400000000001</c:v>
                </c:pt>
                <c:pt idx="11">
                  <c:v>0.13125800000000001</c:v>
                </c:pt>
                <c:pt idx="12">
                  <c:v>0.134406</c:v>
                </c:pt>
                <c:pt idx="13">
                  <c:v>0.13747799999999999</c:v>
                </c:pt>
                <c:pt idx="14">
                  <c:v>0.140542</c:v>
                </c:pt>
                <c:pt idx="15">
                  <c:v>0.14484</c:v>
                </c:pt>
                <c:pt idx="16">
                  <c:v>0.14109099999999999</c:v>
                </c:pt>
                <c:pt idx="17">
                  <c:v>0.13647599999999999</c:v>
                </c:pt>
                <c:pt idx="18">
                  <c:v>0.13309299999999999</c:v>
                </c:pt>
                <c:pt idx="19">
                  <c:v>0.13000800000000001</c:v>
                </c:pt>
                <c:pt idx="20">
                  <c:v>0.13078000000000001</c:v>
                </c:pt>
                <c:pt idx="21">
                  <c:v>0.132299</c:v>
                </c:pt>
                <c:pt idx="22">
                  <c:v>0.13172800000000001</c:v>
                </c:pt>
                <c:pt idx="23">
                  <c:v>0.132997</c:v>
                </c:pt>
                <c:pt idx="24">
                  <c:v>0.135577</c:v>
                </c:pt>
                <c:pt idx="25">
                  <c:v>0.136461</c:v>
                </c:pt>
                <c:pt idx="26">
                  <c:v>0.140094</c:v>
                </c:pt>
                <c:pt idx="27">
                  <c:v>0.14510700000000001</c:v>
                </c:pt>
                <c:pt idx="28">
                  <c:v>0.144987</c:v>
                </c:pt>
                <c:pt idx="29">
                  <c:v>0.146148</c:v>
                </c:pt>
                <c:pt idx="30">
                  <c:v>0.14887700000000001</c:v>
                </c:pt>
                <c:pt idx="31">
                  <c:v>0.151449</c:v>
                </c:pt>
                <c:pt idx="32">
                  <c:v>0.153032</c:v>
                </c:pt>
                <c:pt idx="33">
                  <c:v>0.15787000000000001</c:v>
                </c:pt>
                <c:pt idx="34">
                  <c:v>0.16684299999999999</c:v>
                </c:pt>
                <c:pt idx="35">
                  <c:v>0.17291300000000001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21-4026-B178-B9BECABB2BEC}"/>
            </c:ext>
          </c:extLst>
        </c:ser>
        <c:ser>
          <c:idx val="6"/>
          <c:order val="1"/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Графики!$U$6:$U$41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21-4026-B178-B9BECABB2BEC}"/>
            </c:ext>
          </c:extLst>
        </c:ser>
        <c:ser>
          <c:idx val="7"/>
          <c:order val="2"/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Графики!$V$6:$V$41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21-4026-B178-B9BECABB2BEC}"/>
            </c:ext>
          </c:extLst>
        </c:ser>
        <c:ser>
          <c:idx val="8"/>
          <c:order val="3"/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Графики!$W$6:$W$41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21-4026-B178-B9BECABB2BEC}"/>
            </c:ext>
          </c:extLst>
        </c:ser>
        <c:ser>
          <c:idx val="9"/>
          <c:order val="4"/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Графики!$X$6:$X$41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621-4026-B178-B9BECABB2BEC}"/>
            </c:ext>
          </c:extLst>
        </c:ser>
        <c:ser>
          <c:idx val="10"/>
          <c:order val="5"/>
          <c:spPr>
            <a:ln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Графики!$Y$6:$Y$41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21-4026-B178-B9BECABB2BEC}"/>
            </c:ext>
          </c:extLst>
        </c:ser>
        <c:ser>
          <c:idx val="11"/>
          <c:order val="6"/>
          <c:spPr>
            <a:ln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Графики!$Z$6:$Z$41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621-4026-B178-B9BECABB2BEC}"/>
            </c:ext>
          </c:extLst>
        </c:ser>
        <c:ser>
          <c:idx val="12"/>
          <c:order val="7"/>
          <c:tx>
            <c:strRef>
              <c:f>Графики!$T$5</c:f>
              <c:strCache>
                <c:ptCount val="1"/>
                <c:pt idx="0">
                  <c:v>NiPA-62-F_UG_1__2026-03-24_11-4</c:v>
                </c:pt>
              </c:strCache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Графики!$T$6:$T$41</c:f>
              <c:numCache>
                <c:formatCode>0.0</c:formatCode>
                <c:ptCount val="36"/>
                <c:pt idx="0">
                  <c:v>0.51798500000000003</c:v>
                </c:pt>
                <c:pt idx="1">
                  <c:v>0.493286</c:v>
                </c:pt>
                <c:pt idx="2">
                  <c:v>0.49906299999999998</c:v>
                </c:pt>
                <c:pt idx="3">
                  <c:v>0.53835100000000002</c:v>
                </c:pt>
                <c:pt idx="4">
                  <c:v>0.54976499999999995</c:v>
                </c:pt>
                <c:pt idx="5">
                  <c:v>0.57337400000000005</c:v>
                </c:pt>
                <c:pt idx="6">
                  <c:v>0.57243100000000002</c:v>
                </c:pt>
                <c:pt idx="7">
                  <c:v>0.59110499999999999</c:v>
                </c:pt>
                <c:pt idx="8">
                  <c:v>0.63044199999999995</c:v>
                </c:pt>
                <c:pt idx="9">
                  <c:v>0.64310699999999998</c:v>
                </c:pt>
                <c:pt idx="10">
                  <c:v>0.65504600000000002</c:v>
                </c:pt>
                <c:pt idx="11">
                  <c:v>0.67415599999999998</c:v>
                </c:pt>
                <c:pt idx="12">
                  <c:v>0.66640200000000005</c:v>
                </c:pt>
                <c:pt idx="13">
                  <c:v>0.64867799999999998</c:v>
                </c:pt>
                <c:pt idx="14">
                  <c:v>0.60949600000000004</c:v>
                </c:pt>
                <c:pt idx="15">
                  <c:v>0.61144200000000004</c:v>
                </c:pt>
                <c:pt idx="16">
                  <c:v>0.61895</c:v>
                </c:pt>
                <c:pt idx="17">
                  <c:v>0.60870899999999994</c:v>
                </c:pt>
                <c:pt idx="18">
                  <c:v>0.65160799999999997</c:v>
                </c:pt>
                <c:pt idx="19">
                  <c:v>0.65821099999999999</c:v>
                </c:pt>
                <c:pt idx="20">
                  <c:v>0.65773800000000004</c:v>
                </c:pt>
                <c:pt idx="21">
                  <c:v>0.65861999999999998</c:v>
                </c:pt>
                <c:pt idx="22">
                  <c:v>0.68378300000000003</c:v>
                </c:pt>
                <c:pt idx="23">
                  <c:v>0.70133999999999996</c:v>
                </c:pt>
                <c:pt idx="24">
                  <c:v>0.70881099999999997</c:v>
                </c:pt>
                <c:pt idx="25">
                  <c:v>0.71170100000000003</c:v>
                </c:pt>
                <c:pt idx="26">
                  <c:v>0.733935</c:v>
                </c:pt>
                <c:pt idx="27">
                  <c:v>0.75384700000000004</c:v>
                </c:pt>
                <c:pt idx="28">
                  <c:v>0.74649600000000005</c:v>
                </c:pt>
                <c:pt idx="29">
                  <c:v>0.75879399999999997</c:v>
                </c:pt>
                <c:pt idx="30">
                  <c:v>0.777092</c:v>
                </c:pt>
                <c:pt idx="31">
                  <c:v>0.77790899999999996</c:v>
                </c:pt>
                <c:pt idx="32">
                  <c:v>0.77167399999999997</c:v>
                </c:pt>
                <c:pt idx="33">
                  <c:v>0.77915900000000005</c:v>
                </c:pt>
                <c:pt idx="34">
                  <c:v>0.76131400000000005</c:v>
                </c:pt>
                <c:pt idx="35">
                  <c:v>0.76350499999999999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21-4026-B178-B9BECABB2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12"/>
        <c:axId val="704814512"/>
      </c:scatterChart>
      <c:valAx>
        <c:axId val="70480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c:spPr>
        </c:minorGridlines>
        <c:title>
          <c:tx>
            <c:strRef>
              <c:f>Графики!$B$4</c:f>
              <c:strCache>
                <c:ptCount val="1"/>
                <c:pt idx="0">
                  <c:v>Частота, ГГц</c:v>
                </c:pt>
              </c:strCache>
            </c:strRef>
          </c:tx>
          <c:layout>
            <c:manualLayout>
              <c:xMode val="edge"/>
              <c:yMode val="edge"/>
              <c:x val="0.39797828554545772"/>
              <c:y val="0.92237035788163135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14512"/>
        <c:crosses val="autoZero"/>
        <c:crossBetween val="midCat"/>
        <c:majorUnit val="1"/>
        <c:minorUnit val="0.5"/>
      </c:valAx>
      <c:valAx>
        <c:axId val="704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strRef>
              <c:f>Графики!$S$4</c:f>
              <c:strCache>
                <c:ptCount val="1"/>
                <c:pt idx="0">
                  <c:v>Id, А</c:v>
                </c:pt>
              </c:strCache>
            </c:strRef>
          </c:tx>
          <c:layout>
            <c:manualLayout>
              <c:xMode val="edge"/>
              <c:yMode val="edge"/>
              <c:x val="0"/>
              <c:y val="9.8643518518518533E-3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09112"/>
        <c:crosses val="autoZero"/>
        <c:crossBetween val="midCat"/>
        <c:majorUnit val="0.1"/>
        <c:minorUnit val="0.1"/>
      </c:valAx>
    </c:plotArea>
    <c:legend>
      <c:legendPos val="r"/>
      <c:layout>
        <c:manualLayout>
          <c:xMode val="edge"/>
          <c:yMode val="edge"/>
          <c:x val="0.33117334585513242"/>
          <c:y val="0.60507405805143344"/>
          <c:w val="0.33620678437165907"/>
          <c:h val="0.201476436579832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strRef>
          <c:f>Графики!$A$1</c:f>
          <c:strCache>
            <c:ptCount val="1"/>
            <c:pt idx="0">
              <c:v>iPA-64-F (R086W2-2)</c:v>
            </c:pt>
          </c:strCache>
        </c:strRef>
      </c:tx>
      <c:layout>
        <c:manualLayout>
          <c:xMode val="edge"/>
          <c:yMode val="edge"/>
          <c:x val="0.2269395777205781"/>
          <c:y val="5.8796228963465189E-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669080125184694E-2"/>
          <c:y val="0.106343174699928"/>
          <c:w val="0.85898346802256853"/>
          <c:h val="0.726669791596224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Графики!$AA$5</c:f>
              <c:strCache>
                <c:ptCount val="1"/>
                <c:pt idx="0">
                  <c:v>№1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Графики!$AA$6:$AA$41</c:f>
              <c:numCache>
                <c:formatCode>0.0</c:formatCode>
                <c:ptCount val="36"/>
                <c:pt idx="0">
                  <c:v>4.8999999999999998E-5</c:v>
                </c:pt>
                <c:pt idx="1">
                  <c:v>-2.13E-4</c:v>
                </c:pt>
                <c:pt idx="2">
                  <c:v>1.8E-5</c:v>
                </c:pt>
                <c:pt idx="3">
                  <c:v>-3.88E-4</c:v>
                </c:pt>
                <c:pt idx="4">
                  <c:v>-4.08E-4</c:v>
                </c:pt>
                <c:pt idx="5">
                  <c:v>2.24E-4</c:v>
                </c:pt>
                <c:pt idx="6">
                  <c:v>-3.8999999999999999E-5</c:v>
                </c:pt>
                <c:pt idx="7">
                  <c:v>3.4999999999999997E-5</c:v>
                </c:pt>
                <c:pt idx="8">
                  <c:v>-1.6000000000000001E-4</c:v>
                </c:pt>
                <c:pt idx="9">
                  <c:v>-2.1800000000000001E-4</c:v>
                </c:pt>
                <c:pt idx="10">
                  <c:v>-1.2999999999999999E-5</c:v>
                </c:pt>
                <c:pt idx="11">
                  <c:v>1.21E-4</c:v>
                </c:pt>
                <c:pt idx="12">
                  <c:v>1.46E-4</c:v>
                </c:pt>
                <c:pt idx="13">
                  <c:v>2.5999999999999998E-5</c:v>
                </c:pt>
                <c:pt idx="14">
                  <c:v>-2.4600000000000002E-4</c:v>
                </c:pt>
                <c:pt idx="15">
                  <c:v>-2.7500000000000002E-4</c:v>
                </c:pt>
                <c:pt idx="16">
                  <c:v>-2.9100000000000003E-4</c:v>
                </c:pt>
                <c:pt idx="17">
                  <c:v>2.5000000000000001E-5</c:v>
                </c:pt>
                <c:pt idx="18">
                  <c:v>-7.6000000000000004E-5</c:v>
                </c:pt>
                <c:pt idx="19">
                  <c:v>2.8499999999999999E-4</c:v>
                </c:pt>
                <c:pt idx="20">
                  <c:v>-1.95E-4</c:v>
                </c:pt>
                <c:pt idx="21">
                  <c:v>-3.5500000000000001E-4</c:v>
                </c:pt>
                <c:pt idx="22">
                  <c:v>6.9999999999999994E-5</c:v>
                </c:pt>
                <c:pt idx="23">
                  <c:v>-6.7699999999999998E-4</c:v>
                </c:pt>
                <c:pt idx="24">
                  <c:v>-1.8100000000000001E-4</c:v>
                </c:pt>
                <c:pt idx="25">
                  <c:v>-3.4699999999999998E-4</c:v>
                </c:pt>
                <c:pt idx="26">
                  <c:v>-8.2999999999999998E-5</c:v>
                </c:pt>
                <c:pt idx="27">
                  <c:v>-2.9100000000000003E-4</c:v>
                </c:pt>
                <c:pt idx="28">
                  <c:v>-2.42E-4</c:v>
                </c:pt>
                <c:pt idx="29">
                  <c:v>-2.9E-4</c:v>
                </c:pt>
                <c:pt idx="30">
                  <c:v>-3.2499999999999999E-4</c:v>
                </c:pt>
                <c:pt idx="31">
                  <c:v>-1.74E-4</c:v>
                </c:pt>
                <c:pt idx="32">
                  <c:v>-6.3999999999999997E-5</c:v>
                </c:pt>
                <c:pt idx="33">
                  <c:v>-5.2300000000000003E-4</c:v>
                </c:pt>
                <c:pt idx="34">
                  <c:v>-4.0299999999999998E-4</c:v>
                </c:pt>
                <c:pt idx="35">
                  <c:v>-4.5600000000000003E-4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7F-4131-AAE9-160B4A1E8656}"/>
            </c:ext>
          </c:extLst>
        </c:ser>
        <c:ser>
          <c:idx val="1"/>
          <c:order val="1"/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Графики!$AD$6:$AD$41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7F-4131-AAE9-160B4A1E8656}"/>
            </c:ext>
          </c:extLst>
        </c:ser>
        <c:ser>
          <c:idx val="2"/>
          <c:order val="2"/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Графики!$AE$6:$AE$41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7F-4131-AAE9-160B4A1E8656}"/>
            </c:ext>
          </c:extLst>
        </c:ser>
        <c:ser>
          <c:idx val="3"/>
          <c:order val="3"/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Графики!$AF$6:$AF$41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7F-4131-AAE9-160B4A1E8656}"/>
            </c:ext>
          </c:extLst>
        </c:ser>
        <c:ser>
          <c:idx val="4"/>
          <c:order val="4"/>
          <c:spPr>
            <a:ln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Графики!$AG$6:$AG$41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7F-4131-AAE9-160B4A1E8656}"/>
            </c:ext>
          </c:extLst>
        </c:ser>
        <c:ser>
          <c:idx val="5"/>
          <c:order val="5"/>
          <c:spPr>
            <a:ln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Графики!$AH$6:$AH$41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7F-4131-AAE9-160B4A1E8656}"/>
            </c:ext>
          </c:extLst>
        </c:ser>
        <c:ser>
          <c:idx val="6"/>
          <c:order val="6"/>
          <c:tx>
            <c:strRef>
              <c:f>Графики!$AB$5</c:f>
              <c:strCache>
                <c:ptCount val="1"/>
                <c:pt idx="0">
                  <c:v>NiPA-62-F_UG_1__2026-03-24_11-4</c:v>
                </c:pt>
              </c:strCache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Графики!$AB$6:$AB$41</c:f>
              <c:numCache>
                <c:formatCode>0.0</c:formatCode>
                <c:ptCount val="36"/>
                <c:pt idx="0">
                  <c:v>-1.22E-4</c:v>
                </c:pt>
                <c:pt idx="1">
                  <c:v>-1.2E-4</c:v>
                </c:pt>
                <c:pt idx="2">
                  <c:v>3.1799999999999998E-4</c:v>
                </c:pt>
                <c:pt idx="3">
                  <c:v>6.7999999999999999E-5</c:v>
                </c:pt>
                <c:pt idx="4">
                  <c:v>1.3999999999999999E-4</c:v>
                </c:pt>
                <c:pt idx="5">
                  <c:v>-3.3100000000000002E-4</c:v>
                </c:pt>
                <c:pt idx="6">
                  <c:v>2.6999999999999999E-5</c:v>
                </c:pt>
                <c:pt idx="7">
                  <c:v>-1.15E-4</c:v>
                </c:pt>
                <c:pt idx="8">
                  <c:v>-4.1899999999999999E-4</c:v>
                </c:pt>
                <c:pt idx="9">
                  <c:v>-4.4299999999999998E-4</c:v>
                </c:pt>
                <c:pt idx="10">
                  <c:v>-2.4000000000000001E-4</c:v>
                </c:pt>
                <c:pt idx="11">
                  <c:v>-2.9500000000000001E-4</c:v>
                </c:pt>
                <c:pt idx="12">
                  <c:v>-2.9E-4</c:v>
                </c:pt>
                <c:pt idx="13">
                  <c:v>-1.7699999999999999E-4</c:v>
                </c:pt>
                <c:pt idx="14">
                  <c:v>-5.9599999999999996E-4</c:v>
                </c:pt>
                <c:pt idx="15">
                  <c:v>-2.6699999999999998E-4</c:v>
                </c:pt>
                <c:pt idx="16">
                  <c:v>-2.03E-4</c:v>
                </c:pt>
                <c:pt idx="17">
                  <c:v>-3.1599999999999998E-4</c:v>
                </c:pt>
                <c:pt idx="18">
                  <c:v>-3.0899999999999998E-4</c:v>
                </c:pt>
                <c:pt idx="19">
                  <c:v>-2.1800000000000001E-4</c:v>
                </c:pt>
                <c:pt idx="20">
                  <c:v>-3.2499999999999999E-4</c:v>
                </c:pt>
                <c:pt idx="21">
                  <c:v>2.4000000000000001E-5</c:v>
                </c:pt>
                <c:pt idx="22">
                  <c:v>-8.7999999999999998E-5</c:v>
                </c:pt>
                <c:pt idx="23">
                  <c:v>-1.2400000000000001E-4</c:v>
                </c:pt>
                <c:pt idx="24">
                  <c:v>-3.6699999999999998E-4</c:v>
                </c:pt>
                <c:pt idx="25">
                  <c:v>-1.3999999999999999E-4</c:v>
                </c:pt>
                <c:pt idx="26">
                  <c:v>7.6000000000000004E-5</c:v>
                </c:pt>
                <c:pt idx="27">
                  <c:v>-1.2999999999999999E-5</c:v>
                </c:pt>
                <c:pt idx="28">
                  <c:v>-3.5500000000000001E-4</c:v>
                </c:pt>
                <c:pt idx="29">
                  <c:v>-2.3E-5</c:v>
                </c:pt>
                <c:pt idx="30">
                  <c:v>-4.9600000000000002E-4</c:v>
                </c:pt>
                <c:pt idx="31">
                  <c:v>9.7999999999999997E-5</c:v>
                </c:pt>
                <c:pt idx="32">
                  <c:v>4.06E-4</c:v>
                </c:pt>
                <c:pt idx="33">
                  <c:v>-2.3E-5</c:v>
                </c:pt>
                <c:pt idx="34">
                  <c:v>-3.5300000000000002E-4</c:v>
                </c:pt>
                <c:pt idx="35">
                  <c:v>3.4200000000000002E-4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57F-4131-AAE9-160B4A1E8656}"/>
            </c:ext>
          </c:extLst>
        </c:ser>
        <c:ser>
          <c:idx val="7"/>
          <c:order val="7"/>
          <c:tx>
            <c:strRef>
              <c:f>Графики!$AC$5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Графики!$AC$6:$AC$41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7F-4131-AAE9-160B4A1E8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12"/>
        <c:axId val="704814512"/>
      </c:scatterChart>
      <c:valAx>
        <c:axId val="70480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c:spPr>
        </c:minorGridlines>
        <c:title>
          <c:tx>
            <c:strRef>
              <c:f>Графики!$B$4</c:f>
              <c:strCache>
                <c:ptCount val="1"/>
                <c:pt idx="0">
                  <c:v>Частота, ГГц</c:v>
                </c:pt>
              </c:strCache>
            </c:strRef>
          </c:tx>
          <c:layout>
            <c:manualLayout>
              <c:xMode val="edge"/>
              <c:yMode val="edge"/>
              <c:x val="0.39797828554545772"/>
              <c:y val="0.92237035788163135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14512"/>
        <c:crossesAt val="-1"/>
        <c:crossBetween val="midCat"/>
        <c:majorUnit val="1"/>
        <c:minorUnit val="0.5"/>
      </c:valAx>
      <c:valAx>
        <c:axId val="704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strRef>
              <c:f>Графики!$AA$4</c:f>
              <c:strCache>
                <c:ptCount val="1"/>
                <c:pt idx="0">
                  <c:v>Ig, мА</c:v>
                </c:pt>
              </c:strCache>
            </c:strRef>
          </c:tx>
          <c:layout>
            <c:manualLayout>
              <c:xMode val="edge"/>
              <c:yMode val="edge"/>
              <c:x val="0"/>
              <c:y val="9.8643518518518533E-3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09112"/>
        <c:crosses val="autoZero"/>
        <c:crossBetween val="midCat"/>
        <c:majorUnit val="1"/>
        <c:minorUnit val="1"/>
      </c:valAx>
    </c:plotArea>
    <c:legend>
      <c:legendPos val="r"/>
      <c:layout>
        <c:manualLayout>
          <c:xMode val="edge"/>
          <c:yMode val="edge"/>
          <c:x val="0.42265153669297589"/>
          <c:y val="0.1109522914040043"/>
          <c:w val="0.52750811281555599"/>
          <c:h val="0.1720644266603426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strRef>
          <c:f>Графики!$A$1</c:f>
          <c:strCache>
            <c:ptCount val="1"/>
            <c:pt idx="0">
              <c:v>iPA-64-F (R086W2-2)</c:v>
            </c:pt>
          </c:strCache>
        </c:strRef>
      </c:tx>
      <c:layout>
        <c:manualLayout>
          <c:xMode val="edge"/>
          <c:yMode val="edge"/>
          <c:x val="0.2269395777205781"/>
          <c:y val="5.8796228963465189E-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669080125184694E-2"/>
          <c:y val="0.106343174699928"/>
          <c:w val="0.85898346802256853"/>
          <c:h val="0.72666979159622447"/>
        </c:manualLayout>
      </c:layout>
      <c:scatterChart>
        <c:scatterStyle val="smoothMarker"/>
        <c:varyColors val="0"/>
        <c:ser>
          <c:idx val="5"/>
          <c:order val="0"/>
          <c:tx>
            <c:strRef>
              <c:f>Графики!$AI$5</c:f>
              <c:strCache>
                <c:ptCount val="1"/>
                <c:pt idx="0">
                  <c:v>№1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Графики!$AI$6:$AI$41</c:f>
              <c:numCache>
                <c:formatCode>0.0</c:formatCode>
                <c:ptCount val="36"/>
                <c:pt idx="0">
                  <c:v>15.513216999999999</c:v>
                </c:pt>
                <c:pt idx="1">
                  <c:v>16.938403000000001</c:v>
                </c:pt>
                <c:pt idx="2">
                  <c:v>18.204166000000001</c:v>
                </c:pt>
                <c:pt idx="3">
                  <c:v>18.624177</c:v>
                </c:pt>
                <c:pt idx="4">
                  <c:v>19.00573</c:v>
                </c:pt>
                <c:pt idx="5">
                  <c:v>19.236554999999999</c:v>
                </c:pt>
                <c:pt idx="6">
                  <c:v>19.771552</c:v>
                </c:pt>
                <c:pt idx="7">
                  <c:v>19.939962999999999</c:v>
                </c:pt>
                <c:pt idx="8">
                  <c:v>20.437695999999999</c:v>
                </c:pt>
                <c:pt idx="9">
                  <c:v>21.122292999999999</c:v>
                </c:pt>
                <c:pt idx="10">
                  <c:v>21.792282</c:v>
                </c:pt>
                <c:pt idx="11">
                  <c:v>22.269048999999999</c:v>
                </c:pt>
                <c:pt idx="12">
                  <c:v>22.321244</c:v>
                </c:pt>
                <c:pt idx="13">
                  <c:v>22.564494</c:v>
                </c:pt>
                <c:pt idx="14">
                  <c:v>22.463488999999999</c:v>
                </c:pt>
                <c:pt idx="15">
                  <c:v>22.779745999999999</c:v>
                </c:pt>
                <c:pt idx="16">
                  <c:v>22.736564999999999</c:v>
                </c:pt>
                <c:pt idx="17">
                  <c:v>22.161003999999998</c:v>
                </c:pt>
                <c:pt idx="18">
                  <c:v>21.842827</c:v>
                </c:pt>
                <c:pt idx="19">
                  <c:v>21.314205999999999</c:v>
                </c:pt>
                <c:pt idx="20">
                  <c:v>21.411911</c:v>
                </c:pt>
                <c:pt idx="21">
                  <c:v>21.750724999999999</c:v>
                </c:pt>
                <c:pt idx="22">
                  <c:v>21.674391</c:v>
                </c:pt>
                <c:pt idx="23">
                  <c:v>21.62398</c:v>
                </c:pt>
                <c:pt idx="24">
                  <c:v>21.878219000000001</c:v>
                </c:pt>
                <c:pt idx="25">
                  <c:v>21.913405999999998</c:v>
                </c:pt>
                <c:pt idx="26">
                  <c:v>22.076007000000001</c:v>
                </c:pt>
                <c:pt idx="27">
                  <c:v>22.025594000000002</c:v>
                </c:pt>
                <c:pt idx="28">
                  <c:v>21.767721999999999</c:v>
                </c:pt>
                <c:pt idx="29">
                  <c:v>22.115341000000001</c:v>
                </c:pt>
                <c:pt idx="30">
                  <c:v>22.248235000000001</c:v>
                </c:pt>
                <c:pt idx="31">
                  <c:v>22.295223</c:v>
                </c:pt>
                <c:pt idx="32">
                  <c:v>22.418697999999999</c:v>
                </c:pt>
                <c:pt idx="33">
                  <c:v>22.561067000000001</c:v>
                </c:pt>
                <c:pt idx="34">
                  <c:v>22.868760999999999</c:v>
                </c:pt>
                <c:pt idx="35">
                  <c:v>23.052913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27-46EF-9755-44A1631BC197}"/>
            </c:ext>
          </c:extLst>
        </c:ser>
        <c:ser>
          <c:idx val="6"/>
          <c:order val="1"/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Графики!$AK$6:$AK$41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27-46EF-9755-44A1631BC197}"/>
            </c:ext>
          </c:extLst>
        </c:ser>
        <c:ser>
          <c:idx val="7"/>
          <c:order val="2"/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Графики!$AL$6:$AL$41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27-46EF-9755-44A1631BC197}"/>
            </c:ext>
          </c:extLst>
        </c:ser>
        <c:ser>
          <c:idx val="8"/>
          <c:order val="3"/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Графики!$AM$6:$AM$41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27-46EF-9755-44A1631BC197}"/>
            </c:ext>
          </c:extLst>
        </c:ser>
        <c:ser>
          <c:idx val="9"/>
          <c:order val="4"/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Графики!$AN$6:$AN$41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E27-46EF-9755-44A1631BC197}"/>
            </c:ext>
          </c:extLst>
        </c:ser>
        <c:ser>
          <c:idx val="10"/>
          <c:order val="5"/>
          <c:spPr>
            <a:ln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Графики!$AO$6:$AO$41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E27-46EF-9755-44A1631BC197}"/>
            </c:ext>
          </c:extLst>
        </c:ser>
        <c:ser>
          <c:idx val="11"/>
          <c:order val="6"/>
          <c:spPr>
            <a:ln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Графики!$AP$6:$AP$41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E27-46EF-9755-44A1631BC197}"/>
            </c:ext>
          </c:extLst>
        </c:ser>
        <c:ser>
          <c:idx val="12"/>
          <c:order val="7"/>
          <c:tx>
            <c:strRef>
              <c:f>Графики!$AJ$5</c:f>
              <c:strCache>
                <c:ptCount val="1"/>
                <c:pt idx="0">
                  <c:v>NiPA-62-F_UG_1__2026-03-24_11-4</c:v>
                </c:pt>
              </c:strCache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Графики!$AJ$6:$AJ$41</c:f>
              <c:numCache>
                <c:formatCode>0.0</c:formatCode>
                <c:ptCount val="36"/>
                <c:pt idx="0">
                  <c:v>12.382375</c:v>
                </c:pt>
                <c:pt idx="1">
                  <c:v>12.366771</c:v>
                </c:pt>
                <c:pt idx="2">
                  <c:v>12.289049</c:v>
                </c:pt>
                <c:pt idx="3">
                  <c:v>12.619725000000001</c:v>
                </c:pt>
                <c:pt idx="4">
                  <c:v>12.806787999999999</c:v>
                </c:pt>
                <c:pt idx="5">
                  <c:v>12.812635</c:v>
                </c:pt>
                <c:pt idx="6">
                  <c:v>12.725522</c:v>
                </c:pt>
                <c:pt idx="7">
                  <c:v>12.374186</c:v>
                </c:pt>
                <c:pt idx="8">
                  <c:v>12.423717</c:v>
                </c:pt>
                <c:pt idx="9">
                  <c:v>12.418516</c:v>
                </c:pt>
                <c:pt idx="10">
                  <c:v>12.348883000000001</c:v>
                </c:pt>
                <c:pt idx="11">
                  <c:v>12.248170999999999</c:v>
                </c:pt>
                <c:pt idx="12">
                  <c:v>12.241688999999999</c:v>
                </c:pt>
                <c:pt idx="13">
                  <c:v>12.514903</c:v>
                </c:pt>
                <c:pt idx="14">
                  <c:v>12.565972</c:v>
                </c:pt>
                <c:pt idx="15">
                  <c:v>12.786982</c:v>
                </c:pt>
                <c:pt idx="16">
                  <c:v>13.005345999999999</c:v>
                </c:pt>
                <c:pt idx="17">
                  <c:v>12.821391999999999</c:v>
                </c:pt>
                <c:pt idx="18">
                  <c:v>13.023847999999999</c:v>
                </c:pt>
                <c:pt idx="19">
                  <c:v>12.888355000000001</c:v>
                </c:pt>
                <c:pt idx="20">
                  <c:v>12.711281</c:v>
                </c:pt>
                <c:pt idx="21">
                  <c:v>12.677289999999999</c:v>
                </c:pt>
                <c:pt idx="22">
                  <c:v>12.680581999999999</c:v>
                </c:pt>
                <c:pt idx="23">
                  <c:v>12.271359</c:v>
                </c:pt>
                <c:pt idx="24">
                  <c:v>12.118224</c:v>
                </c:pt>
                <c:pt idx="25">
                  <c:v>12.160228999999999</c:v>
                </c:pt>
                <c:pt idx="26">
                  <c:v>11.924949</c:v>
                </c:pt>
                <c:pt idx="27">
                  <c:v>11.926094000000001</c:v>
                </c:pt>
                <c:pt idx="28">
                  <c:v>11.81021</c:v>
                </c:pt>
                <c:pt idx="29">
                  <c:v>11.516855</c:v>
                </c:pt>
                <c:pt idx="30">
                  <c:v>11.379341999999999</c:v>
                </c:pt>
                <c:pt idx="31">
                  <c:v>11.422682</c:v>
                </c:pt>
                <c:pt idx="32">
                  <c:v>11.630037</c:v>
                </c:pt>
                <c:pt idx="33">
                  <c:v>11.663693</c:v>
                </c:pt>
                <c:pt idx="34">
                  <c:v>11.759873000000001</c:v>
                </c:pt>
                <c:pt idx="35">
                  <c:v>11.588967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E27-46EF-9755-44A1631B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12"/>
        <c:axId val="704814512"/>
      </c:scatterChart>
      <c:valAx>
        <c:axId val="70480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c:spPr>
        </c:minorGridlines>
        <c:title>
          <c:tx>
            <c:strRef>
              <c:f>Графики!$B$4</c:f>
              <c:strCache>
                <c:ptCount val="1"/>
                <c:pt idx="0">
                  <c:v>Частота, ГГц</c:v>
                </c:pt>
              </c:strCache>
            </c:strRef>
          </c:tx>
          <c:layout>
            <c:manualLayout>
              <c:xMode val="edge"/>
              <c:yMode val="edge"/>
              <c:x val="0.39797828554545772"/>
              <c:y val="0.92237035788163135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14512"/>
        <c:crosses val="autoZero"/>
        <c:crossBetween val="midCat"/>
        <c:majorUnit val="1"/>
        <c:minorUnit val="0.5"/>
      </c:valAx>
      <c:valAx>
        <c:axId val="704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strRef>
              <c:f>Графики!$AI$4</c:f>
              <c:strCache>
                <c:ptCount val="1"/>
                <c:pt idx="0">
                  <c:v>Ку, дБ</c:v>
                </c:pt>
              </c:strCache>
            </c:strRef>
          </c:tx>
          <c:layout>
            <c:manualLayout>
              <c:xMode val="edge"/>
              <c:yMode val="edge"/>
              <c:x val="0"/>
              <c:y val="9.8643518518518533E-3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09112"/>
        <c:crosses val="autoZero"/>
        <c:crossBetween val="midCat"/>
        <c:majorUnit val="2"/>
        <c:minorUnit val="1"/>
      </c:valAx>
    </c:plotArea>
    <c:legend>
      <c:legendPos val="r"/>
      <c:layout>
        <c:manualLayout>
          <c:xMode val="edge"/>
          <c:yMode val="edge"/>
          <c:x val="0.19629653473890679"/>
          <c:y val="0.52860283226075977"/>
          <c:w val="0.36235764595655617"/>
          <c:h val="0.242653250467118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strRef>
          <c:f>Графики!$A$1</c:f>
          <c:strCache>
            <c:ptCount val="1"/>
            <c:pt idx="0">
              <c:v>iPA-64-F (R086W2-2)</c:v>
            </c:pt>
          </c:strCache>
        </c:strRef>
      </c:tx>
      <c:layout>
        <c:manualLayout>
          <c:xMode val="edge"/>
          <c:yMode val="edge"/>
          <c:x val="0.2269395777205781"/>
          <c:y val="5.8796228963465189E-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669080125184694E-2"/>
          <c:y val="0.106343174699928"/>
          <c:w val="0.85898346802256853"/>
          <c:h val="0.72666979159622447"/>
        </c:manualLayout>
      </c:layout>
      <c:scatterChart>
        <c:scatterStyle val="smoothMarker"/>
        <c:varyColors val="0"/>
        <c:ser>
          <c:idx val="5"/>
          <c:order val="0"/>
          <c:tx>
            <c:strRef>
              <c:f>Графики!$AQ$5</c:f>
              <c:strCache>
                <c:ptCount val="1"/>
                <c:pt idx="0">
                  <c:v>№1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Графики!$AQ$6:$AQ$41</c:f>
              <c:numCache>
                <c:formatCode>0.0</c:formatCode>
                <c:ptCount val="36"/>
                <c:pt idx="0">
                  <c:v>55.297509890059473</c:v>
                </c:pt>
                <c:pt idx="1">
                  <c:v>85.692044546911632</c:v>
                </c:pt>
                <c:pt idx="2">
                  <c:v>128.23277573245423</c:v>
                </c:pt>
                <c:pt idx="3">
                  <c:v>147.16777101998974</c:v>
                </c:pt>
                <c:pt idx="4">
                  <c:v>167.7233652898752</c:v>
                </c:pt>
                <c:pt idx="5">
                  <c:v>179.73275430546278</c:v>
                </c:pt>
                <c:pt idx="6">
                  <c:v>203.17271203427563</c:v>
                </c:pt>
                <c:pt idx="7">
                  <c:v>209.00330545854581</c:v>
                </c:pt>
                <c:pt idx="8">
                  <c:v>223.24334087624203</c:v>
                </c:pt>
                <c:pt idx="9">
                  <c:v>242.28645700105687</c:v>
                </c:pt>
                <c:pt idx="10">
                  <c:v>264.96331560566159</c:v>
                </c:pt>
                <c:pt idx="11">
                  <c:v>287.76489505861792</c:v>
                </c:pt>
                <c:pt idx="12">
                  <c:v>284.44309160124175</c:v>
                </c:pt>
                <c:pt idx="13">
                  <c:v>294.2017521770756</c:v>
                </c:pt>
                <c:pt idx="14">
                  <c:v>281.13498526257558</c:v>
                </c:pt>
                <c:pt idx="15">
                  <c:v>293.51623657329276</c:v>
                </c:pt>
                <c:pt idx="16">
                  <c:v>298.31853099497812</c:v>
                </c:pt>
                <c:pt idx="17">
                  <c:v>269.92153655628107</c:v>
                </c:pt>
                <c:pt idx="18">
                  <c:v>257.10997199151768</c:v>
                </c:pt>
                <c:pt idx="19">
                  <c:v>232.84752266102663</c:v>
                </c:pt>
                <c:pt idx="20">
                  <c:v>236.77878002091921</c:v>
                </c:pt>
                <c:pt idx="21">
                  <c:v>253.1897215189895</c:v>
                </c:pt>
                <c:pt idx="22">
                  <c:v>249.82697276712949</c:v>
                </c:pt>
                <c:pt idx="23">
                  <c:v>244.56807093409608</c:v>
                </c:pt>
                <c:pt idx="24">
                  <c:v>254.47816628542853</c:v>
                </c:pt>
                <c:pt idx="25">
                  <c:v>254.899853269472</c:v>
                </c:pt>
                <c:pt idx="26">
                  <c:v>257.82324965506842</c:v>
                </c:pt>
                <c:pt idx="27">
                  <c:v>246.02560822647555</c:v>
                </c:pt>
                <c:pt idx="28">
                  <c:v>231.94482151218492</c:v>
                </c:pt>
                <c:pt idx="29">
                  <c:v>249.40580938788162</c:v>
                </c:pt>
                <c:pt idx="30">
                  <c:v>252.48881191538172</c:v>
                </c:pt>
                <c:pt idx="31">
                  <c:v>250.91703844800853</c:v>
                </c:pt>
                <c:pt idx="32">
                  <c:v>255.52534947802269</c:v>
                </c:pt>
                <c:pt idx="33">
                  <c:v>255.99662598050696</c:v>
                </c:pt>
                <c:pt idx="34">
                  <c:v>260.1122802475881</c:v>
                </c:pt>
                <c:pt idx="35">
                  <c:v>261.90875250910079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9C-42D2-B1A4-D037D002EEF5}"/>
            </c:ext>
          </c:extLst>
        </c:ser>
        <c:ser>
          <c:idx val="6"/>
          <c:order val="1"/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Графики!$AS$6:$AS$41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9C-42D2-B1A4-D037D002EEF5}"/>
            </c:ext>
          </c:extLst>
        </c:ser>
        <c:ser>
          <c:idx val="7"/>
          <c:order val="2"/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Графики!$AT$6:$AT$41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9C-42D2-B1A4-D037D002EEF5}"/>
            </c:ext>
          </c:extLst>
        </c:ser>
        <c:ser>
          <c:idx val="8"/>
          <c:order val="3"/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Графики!$AU$6:$AU$41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9C-42D2-B1A4-D037D002EEF5}"/>
            </c:ext>
          </c:extLst>
        </c:ser>
        <c:ser>
          <c:idx val="9"/>
          <c:order val="4"/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Графики!$AV$6:$AV$41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E9C-42D2-B1A4-D037D002EEF5}"/>
            </c:ext>
          </c:extLst>
        </c:ser>
        <c:ser>
          <c:idx val="10"/>
          <c:order val="5"/>
          <c:spPr>
            <a:ln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Графики!$AW$6:$AW$41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E9C-42D2-B1A4-D037D002EEF5}"/>
            </c:ext>
          </c:extLst>
        </c:ser>
        <c:ser>
          <c:idx val="11"/>
          <c:order val="6"/>
          <c:spPr>
            <a:ln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Графики!$AX$6:$AX$41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E9C-42D2-B1A4-D037D002EEF5}"/>
            </c:ext>
          </c:extLst>
        </c:ser>
        <c:ser>
          <c:idx val="12"/>
          <c:order val="7"/>
          <c:tx>
            <c:strRef>
              <c:f>Графики!$AR$5</c:f>
              <c:strCache>
                <c:ptCount val="1"/>
                <c:pt idx="0">
                  <c:v>NiPA-62-F_UG_1__2026-03-24_11-4</c:v>
                </c:pt>
              </c:strCache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</c:numCache>
            </c:numRef>
          </c:xVal>
          <c:yVal>
            <c:numRef>
              <c:f>Графики!$AR$6:$AR$41</c:f>
              <c:numCache>
                <c:formatCode>0.0</c:formatCode>
                <c:ptCount val="36"/>
                <c:pt idx="0">
                  <c:v>56.352755999999999</c:v>
                </c:pt>
                <c:pt idx="1">
                  <c:v>58.949216999999997</c:v>
                </c:pt>
                <c:pt idx="2">
                  <c:v>57.169685999999999</c:v>
                </c:pt>
                <c:pt idx="3">
                  <c:v>57.453453000000003</c:v>
                </c:pt>
                <c:pt idx="4">
                  <c:v>58.880178999999998</c:v>
                </c:pt>
                <c:pt idx="5">
                  <c:v>56.536020999999998</c:v>
                </c:pt>
                <c:pt idx="6">
                  <c:v>55.442489000000002</c:v>
                </c:pt>
                <c:pt idx="7">
                  <c:v>49.283172</c:v>
                </c:pt>
                <c:pt idx="8">
                  <c:v>46.770688999999997</c:v>
                </c:pt>
                <c:pt idx="9">
                  <c:v>45.791435999999997</c:v>
                </c:pt>
                <c:pt idx="10">
                  <c:v>44.198300000000003</c:v>
                </c:pt>
                <c:pt idx="11">
                  <c:v>41.900098</c:v>
                </c:pt>
                <c:pt idx="12">
                  <c:v>42.320447999999999</c:v>
                </c:pt>
                <c:pt idx="13">
                  <c:v>46.478917000000003</c:v>
                </c:pt>
                <c:pt idx="14">
                  <c:v>50.086720999999997</c:v>
                </c:pt>
                <c:pt idx="15">
                  <c:v>52.686629000000003</c:v>
                </c:pt>
                <c:pt idx="16">
                  <c:v>54.880575999999998</c:v>
                </c:pt>
                <c:pt idx="17">
                  <c:v>53.367601999999998</c:v>
                </c:pt>
                <c:pt idx="18">
                  <c:v>52.364263999999999</c:v>
                </c:pt>
                <c:pt idx="19">
                  <c:v>50.163096000000003</c:v>
                </c:pt>
                <c:pt idx="20">
                  <c:v>48.084854999999997</c:v>
                </c:pt>
                <c:pt idx="21">
                  <c:v>47.624927</c:v>
                </c:pt>
                <c:pt idx="22">
                  <c:v>45.909095000000001</c:v>
                </c:pt>
                <c:pt idx="23">
                  <c:v>40.505330000000001</c:v>
                </c:pt>
                <c:pt idx="24">
                  <c:v>38.602367000000001</c:v>
                </c:pt>
                <c:pt idx="25">
                  <c:v>38.843721000000002</c:v>
                </c:pt>
                <c:pt idx="26">
                  <c:v>35.552008999999998</c:v>
                </c:pt>
                <c:pt idx="27">
                  <c:v>34.622692999999998</c:v>
                </c:pt>
                <c:pt idx="28">
                  <c:v>33.979897000000001</c:v>
                </c:pt>
                <c:pt idx="29">
                  <c:v>31.091605999999999</c:v>
                </c:pt>
                <c:pt idx="30">
                  <c:v>29.341486</c:v>
                </c:pt>
                <c:pt idx="31">
                  <c:v>29.627735000000001</c:v>
                </c:pt>
                <c:pt idx="32">
                  <c:v>31.441161000000001</c:v>
                </c:pt>
                <c:pt idx="33">
                  <c:v>31.399229999999999</c:v>
                </c:pt>
                <c:pt idx="34">
                  <c:v>32.907505999999998</c:v>
                </c:pt>
                <c:pt idx="35">
                  <c:v>31.456410999999999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E9C-42D2-B1A4-D037D002E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12"/>
        <c:axId val="704814512"/>
      </c:scatterChart>
      <c:valAx>
        <c:axId val="70480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c:spPr>
        </c:minorGridlines>
        <c:title>
          <c:tx>
            <c:strRef>
              <c:f>Графики!$B$4</c:f>
              <c:strCache>
                <c:ptCount val="1"/>
                <c:pt idx="0">
                  <c:v>Частота, ГГц</c:v>
                </c:pt>
              </c:strCache>
            </c:strRef>
          </c:tx>
          <c:layout>
            <c:manualLayout>
              <c:xMode val="edge"/>
              <c:yMode val="edge"/>
              <c:x val="0.39797828554545772"/>
              <c:y val="0.92237035788163135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14512"/>
        <c:crosses val="autoZero"/>
        <c:crossBetween val="midCat"/>
        <c:majorUnit val="1"/>
        <c:minorUnit val="0.5"/>
      </c:valAx>
      <c:valAx>
        <c:axId val="704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strRef>
              <c:f>Графики!$AQ$4</c:f>
              <c:strCache>
                <c:ptCount val="1"/>
                <c:pt idx="0">
                  <c:v>КПД, %</c:v>
                </c:pt>
              </c:strCache>
            </c:strRef>
          </c:tx>
          <c:layout>
            <c:manualLayout>
              <c:xMode val="edge"/>
              <c:yMode val="edge"/>
              <c:x val="0"/>
              <c:y val="9.8643518518518533E-3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09112"/>
        <c:crosses val="autoZero"/>
        <c:crossBetween val="midCat"/>
        <c:majorUnit val="5"/>
        <c:minorUnit val="5"/>
      </c:valAx>
    </c:plotArea>
    <c:legend>
      <c:legendPos val="r"/>
      <c:layout>
        <c:manualLayout>
          <c:xMode val="edge"/>
          <c:yMode val="edge"/>
          <c:x val="0.19638830977773999"/>
          <c:y val="0.53448523424465788"/>
          <c:w val="0.33187189574355591"/>
          <c:h val="0.236770848483220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92</xdr:row>
      <xdr:rowOff>0</xdr:rowOff>
    </xdr:from>
    <xdr:to>
      <xdr:col>7</xdr:col>
      <xdr:colOff>389254</xdr:colOff>
      <xdr:row>103</xdr:row>
      <xdr:rowOff>63482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92</xdr:row>
      <xdr:rowOff>0</xdr:rowOff>
    </xdr:from>
    <xdr:to>
      <xdr:col>13</xdr:col>
      <xdr:colOff>389254</xdr:colOff>
      <xdr:row>103</xdr:row>
      <xdr:rowOff>63482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92</xdr:row>
      <xdr:rowOff>0</xdr:rowOff>
    </xdr:from>
    <xdr:to>
      <xdr:col>23</xdr:col>
      <xdr:colOff>389254</xdr:colOff>
      <xdr:row>103</xdr:row>
      <xdr:rowOff>63482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92</xdr:row>
      <xdr:rowOff>0</xdr:rowOff>
    </xdr:from>
    <xdr:to>
      <xdr:col>29</xdr:col>
      <xdr:colOff>389254</xdr:colOff>
      <xdr:row>103</xdr:row>
      <xdr:rowOff>63482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92</xdr:row>
      <xdr:rowOff>0</xdr:rowOff>
    </xdr:from>
    <xdr:to>
      <xdr:col>40</xdr:col>
      <xdr:colOff>389255</xdr:colOff>
      <xdr:row>103</xdr:row>
      <xdr:rowOff>63482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0</xdr:colOff>
      <xdr:row>92</xdr:row>
      <xdr:rowOff>0</xdr:rowOff>
    </xdr:from>
    <xdr:to>
      <xdr:col>46</xdr:col>
      <xdr:colOff>389255</xdr:colOff>
      <xdr:row>103</xdr:row>
      <xdr:rowOff>63482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91"/>
  <sheetViews>
    <sheetView tabSelected="1" zoomScale="85" zoomScaleNormal="85" workbookViewId="0">
      <selection activeCell="I3" sqref="I2:I3"/>
    </sheetView>
  </sheetViews>
  <sheetFormatPr defaultColWidth="8.85546875" defaultRowHeight="15" x14ac:dyDescent="0.25"/>
  <cols>
    <col min="1" max="1" width="12.28515625" customWidth="1"/>
    <col min="2" max="2" width="12.42578125" customWidth="1"/>
    <col min="3" max="50" width="7.42578125" customWidth="1"/>
  </cols>
  <sheetData>
    <row r="1" spans="1:50" x14ac:dyDescent="0.25">
      <c r="A1" s="1" t="s">
        <v>0</v>
      </c>
    </row>
    <row r="2" spans="1:50" x14ac:dyDescent="0.25">
      <c r="A2" s="1" t="s">
        <v>1</v>
      </c>
    </row>
    <row r="3" spans="1:50" x14ac:dyDescent="0.25">
      <c r="A3" s="1"/>
    </row>
    <row r="4" spans="1:50" ht="41.25" customHeight="1" x14ac:dyDescent="0.25">
      <c r="A4" s="19" t="s">
        <v>2</v>
      </c>
      <c r="B4" s="19" t="s">
        <v>3</v>
      </c>
      <c r="C4" s="15" t="s">
        <v>4</v>
      </c>
      <c r="D4" s="16"/>
      <c r="E4" s="16"/>
      <c r="F4" s="16"/>
      <c r="G4" s="16"/>
      <c r="H4" s="16"/>
      <c r="I4" s="16"/>
      <c r="J4" s="16"/>
      <c r="K4" s="21" t="s">
        <v>5</v>
      </c>
      <c r="L4" s="16"/>
      <c r="M4" s="16"/>
      <c r="N4" s="16"/>
      <c r="O4" s="16"/>
      <c r="P4" s="16"/>
      <c r="Q4" s="16"/>
      <c r="R4" s="16"/>
      <c r="S4" s="22" t="s">
        <v>6</v>
      </c>
      <c r="T4" s="16"/>
      <c r="U4" s="16"/>
      <c r="V4" s="16"/>
      <c r="W4" s="16"/>
      <c r="X4" s="16"/>
      <c r="Y4" s="16"/>
      <c r="Z4" s="18"/>
      <c r="AA4" s="17" t="s">
        <v>7</v>
      </c>
      <c r="AB4" s="16"/>
      <c r="AC4" s="16"/>
      <c r="AD4" s="16"/>
      <c r="AE4" s="16"/>
      <c r="AF4" s="16"/>
      <c r="AG4" s="16"/>
      <c r="AH4" s="18"/>
      <c r="AI4" s="15" t="s">
        <v>8</v>
      </c>
      <c r="AJ4" s="16"/>
      <c r="AK4" s="16"/>
      <c r="AL4" s="16"/>
      <c r="AM4" s="16"/>
      <c r="AN4" s="16"/>
      <c r="AO4" s="16"/>
      <c r="AP4" s="16"/>
      <c r="AQ4" s="17" t="s">
        <v>9</v>
      </c>
      <c r="AR4" s="16"/>
      <c r="AS4" s="16"/>
      <c r="AT4" s="16"/>
      <c r="AU4" s="16"/>
      <c r="AV4" s="16"/>
      <c r="AW4" s="16"/>
      <c r="AX4" s="18"/>
    </row>
    <row r="5" spans="1:50" s="2" customFormat="1" ht="30.75" customHeight="1" x14ac:dyDescent="0.25">
      <c r="A5" s="20"/>
      <c r="B5" s="20"/>
      <c r="C5" s="13" t="s">
        <v>10</v>
      </c>
      <c r="D5" s="13" t="s">
        <v>11</v>
      </c>
      <c r="E5" s="13"/>
      <c r="F5" s="13"/>
      <c r="G5" s="13"/>
      <c r="H5" s="13"/>
      <c r="I5" s="13"/>
      <c r="J5" s="13"/>
      <c r="K5" s="10" t="str">
        <f t="shared" ref="K5:R5" si="0">C5</f>
        <v>№1</v>
      </c>
      <c r="L5" s="10" t="str">
        <f t="shared" si="0"/>
        <v>NiPA-62-F_UG_1__2026-03-24_11-4</v>
      </c>
      <c r="M5" s="10">
        <f t="shared" si="0"/>
        <v>0</v>
      </c>
      <c r="N5" s="10">
        <f t="shared" si="0"/>
        <v>0</v>
      </c>
      <c r="O5" s="10">
        <f t="shared" si="0"/>
        <v>0</v>
      </c>
      <c r="P5" s="10">
        <f t="shared" si="0"/>
        <v>0</v>
      </c>
      <c r="Q5" s="10">
        <f t="shared" si="0"/>
        <v>0</v>
      </c>
      <c r="R5" s="10">
        <f t="shared" si="0"/>
        <v>0</v>
      </c>
      <c r="S5" s="12" t="str">
        <f t="shared" ref="S5:Z5" si="1">C5</f>
        <v>№1</v>
      </c>
      <c r="T5" s="12" t="str">
        <f t="shared" si="1"/>
        <v>NiPA-62-F_UG_1__2026-03-24_11-4</v>
      </c>
      <c r="U5" s="12">
        <f t="shared" si="1"/>
        <v>0</v>
      </c>
      <c r="V5" s="12">
        <f t="shared" si="1"/>
        <v>0</v>
      </c>
      <c r="W5" s="12">
        <f t="shared" si="1"/>
        <v>0</v>
      </c>
      <c r="X5" s="12">
        <f t="shared" si="1"/>
        <v>0</v>
      </c>
      <c r="Y5" s="12">
        <f t="shared" si="1"/>
        <v>0</v>
      </c>
      <c r="Z5" s="12">
        <f t="shared" si="1"/>
        <v>0</v>
      </c>
      <c r="AA5" s="10" t="str">
        <f t="shared" ref="AA5:AH5" si="2">C5</f>
        <v>№1</v>
      </c>
      <c r="AB5" s="10" t="str">
        <f t="shared" si="2"/>
        <v>NiPA-62-F_UG_1__2026-03-24_11-4</v>
      </c>
      <c r="AC5" s="10">
        <f t="shared" si="2"/>
        <v>0</v>
      </c>
      <c r="AD5" s="10">
        <f t="shared" si="2"/>
        <v>0</v>
      </c>
      <c r="AE5" s="10">
        <f t="shared" si="2"/>
        <v>0</v>
      </c>
      <c r="AF5" s="10">
        <f t="shared" si="2"/>
        <v>0</v>
      </c>
      <c r="AG5" s="10">
        <f t="shared" si="2"/>
        <v>0</v>
      </c>
      <c r="AH5" s="10">
        <f t="shared" si="2"/>
        <v>0</v>
      </c>
      <c r="AI5" s="11" t="str">
        <f t="shared" ref="AI5:AP5" si="3">C5</f>
        <v>№1</v>
      </c>
      <c r="AJ5" s="11" t="str">
        <f t="shared" si="3"/>
        <v>NiPA-62-F_UG_1__2026-03-24_11-4</v>
      </c>
      <c r="AK5" s="11">
        <f t="shared" si="3"/>
        <v>0</v>
      </c>
      <c r="AL5" s="11">
        <f t="shared" si="3"/>
        <v>0</v>
      </c>
      <c r="AM5" s="11">
        <f t="shared" si="3"/>
        <v>0</v>
      </c>
      <c r="AN5" s="11">
        <f t="shared" si="3"/>
        <v>0</v>
      </c>
      <c r="AO5" s="11">
        <f t="shared" si="3"/>
        <v>0</v>
      </c>
      <c r="AP5" s="11">
        <f t="shared" si="3"/>
        <v>0</v>
      </c>
      <c r="AQ5" s="10" t="str">
        <f t="shared" ref="AQ5:AX5" si="4">C5</f>
        <v>№1</v>
      </c>
      <c r="AR5" s="10" t="str">
        <f t="shared" si="4"/>
        <v>NiPA-62-F_UG_1__2026-03-24_11-4</v>
      </c>
      <c r="AS5" s="10">
        <f t="shared" si="4"/>
        <v>0</v>
      </c>
      <c r="AT5" s="10">
        <f t="shared" si="4"/>
        <v>0</v>
      </c>
      <c r="AU5" s="10">
        <f t="shared" si="4"/>
        <v>0</v>
      </c>
      <c r="AV5" s="10">
        <f t="shared" si="4"/>
        <v>0</v>
      </c>
      <c r="AW5" s="10">
        <f t="shared" si="4"/>
        <v>0</v>
      </c>
      <c r="AX5" s="10">
        <f t="shared" si="4"/>
        <v>0</v>
      </c>
    </row>
    <row r="6" spans="1:50" x14ac:dyDescent="0.25">
      <c r="A6" s="4">
        <f>'NiPA-62-F_UG_1__2026-03-24_11-4'!B11</f>
        <v>500000000</v>
      </c>
      <c r="B6" s="4">
        <f t="shared" ref="B6:B37" si="5">A6/1000000000</f>
        <v>0.5</v>
      </c>
      <c r="C6" s="5">
        <f>№1!U11</f>
        <v>2.2455446762829525</v>
      </c>
      <c r="D6" s="5">
        <f>'NiPA-62-F_UG_1__2026-03-24_11-4'!U11</f>
        <v>8.6743609999999993</v>
      </c>
      <c r="E6" s="5" t="e">
        <f>#REF!</f>
        <v>#REF!</v>
      </c>
      <c r="F6" s="5" t="e">
        <f>#REF!</f>
        <v>#REF!</v>
      </c>
      <c r="G6" s="5" t="e">
        <f>#REF!</f>
        <v>#REF!</v>
      </c>
      <c r="H6" s="5" t="e">
        <f>#REF!</f>
        <v>#REF!</v>
      </c>
      <c r="I6" s="5" t="e">
        <f>#REF!</f>
        <v>#REF!</v>
      </c>
      <c r="J6" s="5" t="e">
        <f>#REF!</f>
        <v>#REF!</v>
      </c>
      <c r="K6" s="6">
        <f>№1!P11</f>
        <v>33.513216999999997</v>
      </c>
      <c r="L6" s="6">
        <f>'NiPA-62-F_UG_1__2026-03-24_11-4'!P11</f>
        <v>39.382375000000003</v>
      </c>
      <c r="M6" s="6" t="e">
        <f>#REF!</f>
        <v>#REF!</v>
      </c>
      <c r="N6" s="6" t="e">
        <f>#REF!</f>
        <v>#REF!</v>
      </c>
      <c r="O6" s="6" t="e">
        <f>#REF!</f>
        <v>#REF!</v>
      </c>
      <c r="P6" s="6" t="e">
        <f>#REF!</f>
        <v>#REF!</v>
      </c>
      <c r="Q6" s="6" t="e">
        <f>#REF!</f>
        <v>#REF!</v>
      </c>
      <c r="R6" s="6" t="e">
        <f>#REF!</f>
        <v>#REF!</v>
      </c>
      <c r="S6" s="5">
        <f>№1!R11</f>
        <v>0.140955</v>
      </c>
      <c r="T6" s="5">
        <f>'NiPA-62-F_UG_1__2026-03-24_11-4'!R11</f>
        <v>0.51798500000000003</v>
      </c>
      <c r="U6" s="5" t="e">
        <f>#REF!</f>
        <v>#REF!</v>
      </c>
      <c r="V6" s="5" t="e">
        <f>#REF!</f>
        <v>#REF!</v>
      </c>
      <c r="W6" s="5" t="e">
        <f>#REF!</f>
        <v>#REF!</v>
      </c>
      <c r="X6" s="5" t="e">
        <f>#REF!</f>
        <v>#REF!</v>
      </c>
      <c r="Y6" s="5" t="e">
        <f>#REF!</f>
        <v>#REF!</v>
      </c>
      <c r="Z6" s="5" t="e">
        <f>#REF!</f>
        <v>#REF!</v>
      </c>
      <c r="AA6" s="6">
        <f>№1!Q11</f>
        <v>4.8999999999999998E-5</v>
      </c>
      <c r="AB6" s="6">
        <f>'NiPA-62-F_UG_1__2026-03-24_11-4'!Q11</f>
        <v>-1.22E-4</v>
      </c>
      <c r="AC6" s="6" t="e">
        <f>#REF!</f>
        <v>#REF!</v>
      </c>
      <c r="AD6" s="6" t="e">
        <f>#REF!</f>
        <v>#REF!</v>
      </c>
      <c r="AE6" s="6" t="e">
        <f>#REF!</f>
        <v>#REF!</v>
      </c>
      <c r="AF6" s="6" t="e">
        <f>#REF!</f>
        <v>#REF!</v>
      </c>
      <c r="AG6" s="6" t="e">
        <f>#REF!</f>
        <v>#REF!</v>
      </c>
      <c r="AH6" s="6" t="e">
        <f>#REF!</f>
        <v>#REF!</v>
      </c>
      <c r="AI6" s="5">
        <f>№1!S11</f>
        <v>15.513216999999999</v>
      </c>
      <c r="AJ6" s="5">
        <f>'NiPA-62-F_UG_1__2026-03-24_11-4'!S11</f>
        <v>12.382375</v>
      </c>
      <c r="AK6" s="5" t="e">
        <f>#REF!</f>
        <v>#REF!</v>
      </c>
      <c r="AL6" s="5" t="e">
        <f>#REF!</f>
        <v>#REF!</v>
      </c>
      <c r="AM6" s="5" t="e">
        <f>#REF!</f>
        <v>#REF!</v>
      </c>
      <c r="AN6" s="5" t="e">
        <f>#REF!</f>
        <v>#REF!</v>
      </c>
      <c r="AO6" s="5" t="e">
        <f>#REF!</f>
        <v>#REF!</v>
      </c>
      <c r="AP6" s="5" t="e">
        <f>#REF!</f>
        <v>#REF!</v>
      </c>
      <c r="AQ6" s="6">
        <f>№1!T11</f>
        <v>55.297509890059473</v>
      </c>
      <c r="AR6" s="6">
        <f>'NiPA-62-F_UG_1__2026-03-24_11-4'!T11</f>
        <v>56.352755999999999</v>
      </c>
      <c r="AS6" s="6" t="e">
        <f>#REF!</f>
        <v>#REF!</v>
      </c>
      <c r="AT6" s="6" t="e">
        <f>#REF!</f>
        <v>#REF!</v>
      </c>
      <c r="AU6" s="6" t="e">
        <f>#REF!</f>
        <v>#REF!</v>
      </c>
      <c r="AV6" s="6" t="e">
        <f>#REF!</f>
        <v>#REF!</v>
      </c>
      <c r="AW6" s="6" t="e">
        <f>#REF!</f>
        <v>#REF!</v>
      </c>
      <c r="AX6" s="6" t="e">
        <f>#REF!</f>
        <v>#REF!</v>
      </c>
    </row>
    <row r="7" spans="1:50" x14ac:dyDescent="0.25">
      <c r="A7" s="3">
        <f>'NiPA-62-F_UG_1__2026-03-24_11-4'!B12</f>
        <v>600000000</v>
      </c>
      <c r="B7" s="4">
        <f t="shared" si="5"/>
        <v>0.6</v>
      </c>
      <c r="C7" s="5">
        <f>№1!U12</f>
        <v>3.1177429080028691</v>
      </c>
      <c r="D7" s="5">
        <f>'NiPA-62-F_UG_1__2026-03-24_11-4'!U12</f>
        <v>8.6432509999999994</v>
      </c>
      <c r="E7" s="5" t="e">
        <f>#REF!</f>
        <v>#REF!</v>
      </c>
      <c r="F7" s="5" t="e">
        <f>#REF!</f>
        <v>#REF!</v>
      </c>
      <c r="G7" s="5" t="e">
        <f>#REF!</f>
        <v>#REF!</v>
      </c>
      <c r="H7" s="5" t="e">
        <f>#REF!</f>
        <v>#REF!</v>
      </c>
      <c r="I7" s="5" t="e">
        <f>#REF!</f>
        <v>#REF!</v>
      </c>
      <c r="J7" s="5" t="e">
        <f>#REF!</f>
        <v>#REF!</v>
      </c>
      <c r="K7" s="6">
        <f>№1!P12</f>
        <v>34.938403000000001</v>
      </c>
      <c r="L7" s="6">
        <f>'NiPA-62-F_UG_1__2026-03-24_11-4'!P12</f>
        <v>39.366771</v>
      </c>
      <c r="M7" s="6" t="e">
        <f>#REF!</f>
        <v>#REF!</v>
      </c>
      <c r="N7" s="6" t="e">
        <f>#REF!</f>
        <v>#REF!</v>
      </c>
      <c r="O7" s="6" t="e">
        <f>#REF!</f>
        <v>#REF!</v>
      </c>
      <c r="P7" s="6" t="e">
        <f>#REF!</f>
        <v>#REF!</v>
      </c>
      <c r="Q7" s="6" t="e">
        <f>#REF!</f>
        <v>#REF!</v>
      </c>
      <c r="R7" s="6" t="e">
        <f>#REF!</f>
        <v>#REF!</v>
      </c>
      <c r="S7" s="5">
        <f>№1!R12</f>
        <v>0.12731000000000001</v>
      </c>
      <c r="T7" s="5">
        <f>'NiPA-62-F_UG_1__2026-03-24_11-4'!R12</f>
        <v>0.493286</v>
      </c>
      <c r="U7" s="5" t="e">
        <f>#REF!</f>
        <v>#REF!</v>
      </c>
      <c r="V7" s="5" t="e">
        <f>#REF!</f>
        <v>#REF!</v>
      </c>
      <c r="W7" s="5" t="e">
        <f>#REF!</f>
        <v>#REF!</v>
      </c>
      <c r="X7" s="5" t="e">
        <f>#REF!</f>
        <v>#REF!</v>
      </c>
      <c r="Y7" s="5" t="e">
        <f>#REF!</f>
        <v>#REF!</v>
      </c>
      <c r="Z7" s="5" t="e">
        <f>#REF!</f>
        <v>#REF!</v>
      </c>
      <c r="AA7" s="6">
        <f>№1!Q12</f>
        <v>-2.13E-4</v>
      </c>
      <c r="AB7" s="6">
        <f>'NiPA-62-F_UG_1__2026-03-24_11-4'!Q12</f>
        <v>-1.2E-4</v>
      </c>
      <c r="AC7" s="6" t="e">
        <f>#REF!</f>
        <v>#REF!</v>
      </c>
      <c r="AD7" s="6" t="e">
        <f>#REF!</f>
        <v>#REF!</v>
      </c>
      <c r="AE7" s="6" t="e">
        <f>#REF!</f>
        <v>#REF!</v>
      </c>
      <c r="AF7" s="6" t="e">
        <f>#REF!</f>
        <v>#REF!</v>
      </c>
      <c r="AG7" s="6" t="e">
        <f>#REF!</f>
        <v>#REF!</v>
      </c>
      <c r="AH7" s="6" t="e">
        <f>#REF!</f>
        <v>#REF!</v>
      </c>
      <c r="AI7" s="5">
        <f>№1!S12</f>
        <v>16.938403000000001</v>
      </c>
      <c r="AJ7" s="5">
        <f>'NiPA-62-F_UG_1__2026-03-24_11-4'!S12</f>
        <v>12.366771</v>
      </c>
      <c r="AK7" s="5" t="e">
        <f>#REF!</f>
        <v>#REF!</v>
      </c>
      <c r="AL7" s="5" t="e">
        <f>#REF!</f>
        <v>#REF!</v>
      </c>
      <c r="AM7" s="5" t="e">
        <f>#REF!</f>
        <v>#REF!</v>
      </c>
      <c r="AN7" s="5" t="e">
        <f>#REF!</f>
        <v>#REF!</v>
      </c>
      <c r="AO7" s="5" t="e">
        <f>#REF!</f>
        <v>#REF!</v>
      </c>
      <c r="AP7" s="5" t="e">
        <f>#REF!</f>
        <v>#REF!</v>
      </c>
      <c r="AQ7" s="6">
        <f>№1!T12</f>
        <v>85.692044546911632</v>
      </c>
      <c r="AR7" s="6">
        <f>'NiPA-62-F_UG_1__2026-03-24_11-4'!T12</f>
        <v>58.949216999999997</v>
      </c>
      <c r="AS7" s="6" t="e">
        <f>#REF!</f>
        <v>#REF!</v>
      </c>
      <c r="AT7" s="6" t="e">
        <f>#REF!</f>
        <v>#REF!</v>
      </c>
      <c r="AU7" s="6" t="e">
        <f>#REF!</f>
        <v>#REF!</v>
      </c>
      <c r="AV7" s="6" t="e">
        <f>#REF!</f>
        <v>#REF!</v>
      </c>
      <c r="AW7" s="6" t="e">
        <f>#REF!</f>
        <v>#REF!</v>
      </c>
      <c r="AX7" s="6" t="e">
        <f>#REF!</f>
        <v>#REF!</v>
      </c>
    </row>
    <row r="8" spans="1:50" x14ac:dyDescent="0.25">
      <c r="A8" s="4">
        <f>'NiPA-62-F_UG_1__2026-03-24_11-4'!B13</f>
        <v>700000000</v>
      </c>
      <c r="B8" s="4">
        <f t="shared" si="5"/>
        <v>0.7</v>
      </c>
      <c r="C8" s="5">
        <f>№1!U13</f>
        <v>4.1726946018106839</v>
      </c>
      <c r="D8" s="5">
        <f>'NiPA-62-F_UG_1__2026-03-24_11-4'!U13</f>
        <v>8.4899450000000005</v>
      </c>
      <c r="E8" s="5" t="e">
        <f>#REF!</f>
        <v>#REF!</v>
      </c>
      <c r="F8" s="5" t="e">
        <f>#REF!</f>
        <v>#REF!</v>
      </c>
      <c r="G8" s="5" t="e">
        <f>#REF!</f>
        <v>#REF!</v>
      </c>
      <c r="H8" s="5" t="e">
        <f>#REF!</f>
        <v>#REF!</v>
      </c>
      <c r="I8" s="5" t="e">
        <f>#REF!</f>
        <v>#REF!</v>
      </c>
      <c r="J8" s="5" t="e">
        <f>#REF!</f>
        <v>#REF!</v>
      </c>
      <c r="K8" s="6">
        <f>№1!P13</f>
        <v>36.204166000000001</v>
      </c>
      <c r="L8" s="6">
        <f>'NiPA-62-F_UG_1__2026-03-24_11-4'!P13</f>
        <v>39.289048999999999</v>
      </c>
      <c r="M8" s="6" t="e">
        <f>#REF!</f>
        <v>#REF!</v>
      </c>
      <c r="N8" s="6" t="e">
        <f>#REF!</f>
        <v>#REF!</v>
      </c>
      <c r="O8" s="6" t="e">
        <f>#REF!</f>
        <v>#REF!</v>
      </c>
      <c r="P8" s="6" t="e">
        <f>#REF!</f>
        <v>#REF!</v>
      </c>
      <c r="Q8" s="6" t="e">
        <f>#REF!</f>
        <v>#REF!</v>
      </c>
      <c r="R8" s="6" t="e">
        <f>#REF!</f>
        <v>#REF!</v>
      </c>
      <c r="S8" s="5">
        <f>№1!R13</f>
        <v>0.114457</v>
      </c>
      <c r="T8" s="5">
        <f>'NiPA-62-F_UG_1__2026-03-24_11-4'!R13</f>
        <v>0.49906299999999998</v>
      </c>
      <c r="U8" s="5" t="e">
        <f>#REF!</f>
        <v>#REF!</v>
      </c>
      <c r="V8" s="5" t="e">
        <f>#REF!</f>
        <v>#REF!</v>
      </c>
      <c r="W8" s="5" t="e">
        <f>#REF!</f>
        <v>#REF!</v>
      </c>
      <c r="X8" s="5" t="e">
        <f>#REF!</f>
        <v>#REF!</v>
      </c>
      <c r="Y8" s="5" t="e">
        <f>#REF!</f>
        <v>#REF!</v>
      </c>
      <c r="Z8" s="5" t="e">
        <f>#REF!</f>
        <v>#REF!</v>
      </c>
      <c r="AA8" s="6">
        <f>№1!Q13</f>
        <v>1.8E-5</v>
      </c>
      <c r="AB8" s="6">
        <f>'NiPA-62-F_UG_1__2026-03-24_11-4'!Q13</f>
        <v>3.1799999999999998E-4</v>
      </c>
      <c r="AC8" s="6" t="e">
        <f>#REF!</f>
        <v>#REF!</v>
      </c>
      <c r="AD8" s="6" t="e">
        <f>#REF!</f>
        <v>#REF!</v>
      </c>
      <c r="AE8" s="6" t="e">
        <f>#REF!</f>
        <v>#REF!</v>
      </c>
      <c r="AF8" s="6" t="e">
        <f>#REF!</f>
        <v>#REF!</v>
      </c>
      <c r="AG8" s="6" t="e">
        <f>#REF!</f>
        <v>#REF!</v>
      </c>
      <c r="AH8" s="6" t="e">
        <f>#REF!</f>
        <v>#REF!</v>
      </c>
      <c r="AI8" s="5">
        <f>№1!S13</f>
        <v>18.204166000000001</v>
      </c>
      <c r="AJ8" s="5">
        <f>'NiPA-62-F_UG_1__2026-03-24_11-4'!S13</f>
        <v>12.289049</v>
      </c>
      <c r="AK8" s="5" t="e">
        <f>#REF!</f>
        <v>#REF!</v>
      </c>
      <c r="AL8" s="5" t="e">
        <f>#REF!</f>
        <v>#REF!</v>
      </c>
      <c r="AM8" s="5" t="e">
        <f>#REF!</f>
        <v>#REF!</v>
      </c>
      <c r="AN8" s="5" t="e">
        <f>#REF!</f>
        <v>#REF!</v>
      </c>
      <c r="AO8" s="5" t="e">
        <f>#REF!</f>
        <v>#REF!</v>
      </c>
      <c r="AP8" s="5" t="e">
        <f>#REF!</f>
        <v>#REF!</v>
      </c>
      <c r="AQ8" s="6">
        <f>№1!T13</f>
        <v>128.23277573245423</v>
      </c>
      <c r="AR8" s="6">
        <f>'NiPA-62-F_UG_1__2026-03-24_11-4'!T13</f>
        <v>57.169685999999999</v>
      </c>
      <c r="AS8" s="6" t="e">
        <f>#REF!</f>
        <v>#REF!</v>
      </c>
      <c r="AT8" s="6" t="e">
        <f>#REF!</f>
        <v>#REF!</v>
      </c>
      <c r="AU8" s="6" t="e">
        <f>#REF!</f>
        <v>#REF!</v>
      </c>
      <c r="AV8" s="6" t="e">
        <f>#REF!</f>
        <v>#REF!</v>
      </c>
      <c r="AW8" s="6" t="e">
        <f>#REF!</f>
        <v>#REF!</v>
      </c>
      <c r="AX8" s="6" t="e">
        <f>#REF!</f>
        <v>#REF!</v>
      </c>
    </row>
    <row r="9" spans="1:50" x14ac:dyDescent="0.25">
      <c r="A9" s="3">
        <f>'NiPA-62-F_UG_1__2026-03-24_11-4'!B14</f>
        <v>800000000</v>
      </c>
      <c r="B9" s="4">
        <f t="shared" si="5"/>
        <v>0.8</v>
      </c>
      <c r="C9" s="5">
        <f>№1!U14</f>
        <v>4.5963987725502164</v>
      </c>
      <c r="D9" s="5">
        <f>'NiPA-62-F_UG_1__2026-03-24_11-4'!U14</f>
        <v>9.1616239999999998</v>
      </c>
      <c r="E9" s="5" t="e">
        <f>#REF!</f>
        <v>#REF!</v>
      </c>
      <c r="F9" s="5" t="e">
        <f>#REF!</f>
        <v>#REF!</v>
      </c>
      <c r="G9" s="5" t="e">
        <f>#REF!</f>
        <v>#REF!</v>
      </c>
      <c r="H9" s="5" t="e">
        <f>#REF!</f>
        <v>#REF!</v>
      </c>
      <c r="I9" s="5" t="e">
        <f>#REF!</f>
        <v>#REF!</v>
      </c>
      <c r="J9" s="5" t="e">
        <f>#REF!</f>
        <v>#REF!</v>
      </c>
      <c r="K9" s="6">
        <f>№1!P14</f>
        <v>36.624177000000003</v>
      </c>
      <c r="L9" s="6">
        <f>'NiPA-62-F_UG_1__2026-03-24_11-4'!P14</f>
        <v>39.619725000000003</v>
      </c>
      <c r="M9" s="6" t="e">
        <f>#REF!</f>
        <v>#REF!</v>
      </c>
      <c r="N9" s="6" t="e">
        <f>#REF!</f>
        <v>#REF!</v>
      </c>
      <c r="O9" s="6" t="e">
        <f>#REF!</f>
        <v>#REF!</v>
      </c>
      <c r="P9" s="6" t="e">
        <f>#REF!</f>
        <v>#REF!</v>
      </c>
      <c r="Q9" s="6" t="e">
        <f>#REF!</f>
        <v>#REF!</v>
      </c>
      <c r="R9" s="6" t="e">
        <f>#REF!</f>
        <v>#REF!</v>
      </c>
      <c r="S9" s="5">
        <f>№1!R14</f>
        <v>0.110013</v>
      </c>
      <c r="T9" s="5">
        <f>'NiPA-62-F_UG_1__2026-03-24_11-4'!R14</f>
        <v>0.53835100000000002</v>
      </c>
      <c r="U9" s="5" t="e">
        <f>#REF!</f>
        <v>#REF!</v>
      </c>
      <c r="V9" s="5" t="e">
        <f>#REF!</f>
        <v>#REF!</v>
      </c>
      <c r="W9" s="5" t="e">
        <f>#REF!</f>
        <v>#REF!</v>
      </c>
      <c r="X9" s="5" t="e">
        <f>#REF!</f>
        <v>#REF!</v>
      </c>
      <c r="Y9" s="5" t="e">
        <f>#REF!</f>
        <v>#REF!</v>
      </c>
      <c r="Z9" s="5" t="e">
        <f>#REF!</f>
        <v>#REF!</v>
      </c>
      <c r="AA9" s="6">
        <f>№1!Q14</f>
        <v>-3.88E-4</v>
      </c>
      <c r="AB9" s="6">
        <f>'NiPA-62-F_UG_1__2026-03-24_11-4'!Q14</f>
        <v>6.7999999999999999E-5</v>
      </c>
      <c r="AC9" s="6" t="e">
        <f>#REF!</f>
        <v>#REF!</v>
      </c>
      <c r="AD9" s="6" t="e">
        <f>#REF!</f>
        <v>#REF!</v>
      </c>
      <c r="AE9" s="6" t="e">
        <f>#REF!</f>
        <v>#REF!</v>
      </c>
      <c r="AF9" s="6" t="e">
        <f>#REF!</f>
        <v>#REF!</v>
      </c>
      <c r="AG9" s="6" t="e">
        <f>#REF!</f>
        <v>#REF!</v>
      </c>
      <c r="AH9" s="6" t="e">
        <f>#REF!</f>
        <v>#REF!</v>
      </c>
      <c r="AI9" s="5">
        <f>№1!S14</f>
        <v>18.624177</v>
      </c>
      <c r="AJ9" s="5">
        <f>'NiPA-62-F_UG_1__2026-03-24_11-4'!S14</f>
        <v>12.619725000000001</v>
      </c>
      <c r="AK9" s="5" t="e">
        <f>#REF!</f>
        <v>#REF!</v>
      </c>
      <c r="AL9" s="5" t="e">
        <f>#REF!</f>
        <v>#REF!</v>
      </c>
      <c r="AM9" s="5" t="e">
        <f>#REF!</f>
        <v>#REF!</v>
      </c>
      <c r="AN9" s="5" t="e">
        <f>#REF!</f>
        <v>#REF!</v>
      </c>
      <c r="AO9" s="5" t="e">
        <f>#REF!</f>
        <v>#REF!</v>
      </c>
      <c r="AP9" s="5" t="e">
        <f>#REF!</f>
        <v>#REF!</v>
      </c>
      <c r="AQ9" s="6">
        <f>№1!T14</f>
        <v>147.16777101998974</v>
      </c>
      <c r="AR9" s="6">
        <f>'NiPA-62-F_UG_1__2026-03-24_11-4'!T14</f>
        <v>57.453453000000003</v>
      </c>
      <c r="AS9" s="6" t="e">
        <f>#REF!</f>
        <v>#REF!</v>
      </c>
      <c r="AT9" s="6" t="e">
        <f>#REF!</f>
        <v>#REF!</v>
      </c>
      <c r="AU9" s="6" t="e">
        <f>#REF!</f>
        <v>#REF!</v>
      </c>
      <c r="AV9" s="6" t="e">
        <f>#REF!</f>
        <v>#REF!</v>
      </c>
      <c r="AW9" s="6" t="e">
        <f>#REF!</f>
        <v>#REF!</v>
      </c>
      <c r="AX9" s="6" t="e">
        <f>#REF!</f>
        <v>#REF!</v>
      </c>
    </row>
    <row r="10" spans="1:50" x14ac:dyDescent="0.25">
      <c r="A10" s="4">
        <f>'NiPA-62-F_UG_1__2026-03-24_11-4'!B15</f>
        <v>900000000</v>
      </c>
      <c r="B10" s="4">
        <f t="shared" si="5"/>
        <v>0.9</v>
      </c>
      <c r="C10" s="5">
        <f>№1!U15</f>
        <v>5.0184892708719939</v>
      </c>
      <c r="D10" s="5">
        <f>'NiPA-62-F_UG_1__2026-03-24_11-4'!U15</f>
        <v>9.564864</v>
      </c>
      <c r="E10" s="5" t="e">
        <f>#REF!</f>
        <v>#REF!</v>
      </c>
      <c r="F10" s="5" t="e">
        <f>#REF!</f>
        <v>#REF!</v>
      </c>
      <c r="G10" s="5" t="e">
        <f>#REF!</f>
        <v>#REF!</v>
      </c>
      <c r="H10" s="5" t="e">
        <f>#REF!</f>
        <v>#REF!</v>
      </c>
      <c r="I10" s="5" t="e">
        <f>#REF!</f>
        <v>#REF!</v>
      </c>
      <c r="J10" s="5" t="e">
        <f>#REF!</f>
        <v>#REF!</v>
      </c>
      <c r="K10" s="6">
        <f>№1!P15</f>
        <v>37.00573</v>
      </c>
      <c r="L10" s="6">
        <f>'NiPA-62-F_UG_1__2026-03-24_11-4'!P15</f>
        <v>39.806787999999997</v>
      </c>
      <c r="M10" s="6" t="e">
        <f>#REF!</f>
        <v>#REF!</v>
      </c>
      <c r="N10" s="6" t="e">
        <f>#REF!</f>
        <v>#REF!</v>
      </c>
      <c r="O10" s="6" t="e">
        <f>#REF!</f>
        <v>#REF!</v>
      </c>
      <c r="P10" s="6" t="e">
        <f>#REF!</f>
        <v>#REF!</v>
      </c>
      <c r="Q10" s="6" t="e">
        <f>#REF!</f>
        <v>#REF!</v>
      </c>
      <c r="R10" s="6" t="e">
        <f>#REF!</f>
        <v>#REF!</v>
      </c>
      <c r="S10" s="5">
        <f>№1!R15</f>
        <v>0.105518</v>
      </c>
      <c r="T10" s="5">
        <f>'NiPA-62-F_UG_1__2026-03-24_11-4'!R15</f>
        <v>0.54976499999999995</v>
      </c>
      <c r="U10" s="5" t="e">
        <f>#REF!</f>
        <v>#REF!</v>
      </c>
      <c r="V10" s="5" t="e">
        <f>#REF!</f>
        <v>#REF!</v>
      </c>
      <c r="W10" s="5" t="e">
        <f>#REF!</f>
        <v>#REF!</v>
      </c>
      <c r="X10" s="5" t="e">
        <f>#REF!</f>
        <v>#REF!</v>
      </c>
      <c r="Y10" s="5" t="e">
        <f>#REF!</f>
        <v>#REF!</v>
      </c>
      <c r="Z10" s="5" t="e">
        <f>#REF!</f>
        <v>#REF!</v>
      </c>
      <c r="AA10" s="6">
        <f>№1!Q15</f>
        <v>-4.08E-4</v>
      </c>
      <c r="AB10" s="6">
        <f>'NiPA-62-F_UG_1__2026-03-24_11-4'!Q15</f>
        <v>1.3999999999999999E-4</v>
      </c>
      <c r="AC10" s="6" t="e">
        <f>#REF!</f>
        <v>#REF!</v>
      </c>
      <c r="AD10" s="6" t="e">
        <f>#REF!</f>
        <v>#REF!</v>
      </c>
      <c r="AE10" s="6" t="e">
        <f>#REF!</f>
        <v>#REF!</v>
      </c>
      <c r="AF10" s="6" t="e">
        <f>#REF!</f>
        <v>#REF!</v>
      </c>
      <c r="AG10" s="6" t="e">
        <f>#REF!</f>
        <v>#REF!</v>
      </c>
      <c r="AH10" s="6" t="e">
        <f>#REF!</f>
        <v>#REF!</v>
      </c>
      <c r="AI10" s="5">
        <f>№1!S15</f>
        <v>19.00573</v>
      </c>
      <c r="AJ10" s="5">
        <f>'NiPA-62-F_UG_1__2026-03-24_11-4'!S15</f>
        <v>12.806787999999999</v>
      </c>
      <c r="AK10" s="5" t="e">
        <f>#REF!</f>
        <v>#REF!</v>
      </c>
      <c r="AL10" s="5" t="e">
        <f>#REF!</f>
        <v>#REF!</v>
      </c>
      <c r="AM10" s="5" t="e">
        <f>#REF!</f>
        <v>#REF!</v>
      </c>
      <c r="AN10" s="5" t="e">
        <f>#REF!</f>
        <v>#REF!</v>
      </c>
      <c r="AO10" s="5" t="e">
        <f>#REF!</f>
        <v>#REF!</v>
      </c>
      <c r="AP10" s="5" t="e">
        <f>#REF!</f>
        <v>#REF!</v>
      </c>
      <c r="AQ10" s="6">
        <f>№1!T15</f>
        <v>167.7233652898752</v>
      </c>
      <c r="AR10" s="6">
        <f>'NiPA-62-F_UG_1__2026-03-24_11-4'!T15</f>
        <v>58.880178999999998</v>
      </c>
      <c r="AS10" s="6" t="e">
        <f>#REF!</f>
        <v>#REF!</v>
      </c>
      <c r="AT10" s="6" t="e">
        <f>#REF!</f>
        <v>#REF!</v>
      </c>
      <c r="AU10" s="6" t="e">
        <f>#REF!</f>
        <v>#REF!</v>
      </c>
      <c r="AV10" s="6" t="e">
        <f>#REF!</f>
        <v>#REF!</v>
      </c>
      <c r="AW10" s="6" t="e">
        <f>#REF!</f>
        <v>#REF!</v>
      </c>
      <c r="AX10" s="6" t="e">
        <f>#REF!</f>
        <v>#REF!</v>
      </c>
    </row>
    <row r="11" spans="1:50" x14ac:dyDescent="0.25">
      <c r="A11" s="3">
        <f>'NiPA-62-F_UG_1__2026-03-24_11-4'!B16</f>
        <v>1000000000</v>
      </c>
      <c r="B11" s="4">
        <f t="shared" si="5"/>
        <v>1</v>
      </c>
      <c r="C11" s="5">
        <f>№1!U16</f>
        <v>5.2924345995858042</v>
      </c>
      <c r="D11" s="5">
        <f>'NiPA-62-F_UG_1__2026-03-24_11-4'!U16</f>
        <v>9.57775</v>
      </c>
      <c r="E11" s="5" t="e">
        <f>#REF!</f>
        <v>#REF!</v>
      </c>
      <c r="F11" s="5" t="e">
        <f>#REF!</f>
        <v>#REF!</v>
      </c>
      <c r="G11" s="5" t="e">
        <f>#REF!</f>
        <v>#REF!</v>
      </c>
      <c r="H11" s="5" t="e">
        <f>#REF!</f>
        <v>#REF!</v>
      </c>
      <c r="I11" s="5" t="e">
        <f>#REF!</f>
        <v>#REF!</v>
      </c>
      <c r="J11" s="5" t="e">
        <f>#REF!</f>
        <v>#REF!</v>
      </c>
      <c r="K11" s="6">
        <f>№1!P16</f>
        <v>37.236555000000003</v>
      </c>
      <c r="L11" s="6">
        <f>'NiPA-62-F_UG_1__2026-03-24_11-4'!P16</f>
        <v>39.812635</v>
      </c>
      <c r="M11" s="6" t="e">
        <f>#REF!</f>
        <v>#REF!</v>
      </c>
      <c r="N11" s="6" t="e">
        <f>#REF!</f>
        <v>#REF!</v>
      </c>
      <c r="O11" s="6" t="e">
        <f>#REF!</f>
        <v>#REF!</v>
      </c>
      <c r="P11" s="6" t="e">
        <f>#REF!</f>
        <v>#REF!</v>
      </c>
      <c r="Q11" s="6" t="e">
        <f>#REF!</f>
        <v>#REF!</v>
      </c>
      <c r="R11" s="6" t="e">
        <f>#REF!</f>
        <v>#REF!</v>
      </c>
      <c r="S11" s="5">
        <f>№1!R16</f>
        <v>0.103911</v>
      </c>
      <c r="T11" s="5">
        <f>'NiPA-62-F_UG_1__2026-03-24_11-4'!R16</f>
        <v>0.57337400000000005</v>
      </c>
      <c r="U11" s="5" t="e">
        <f>#REF!</f>
        <v>#REF!</v>
      </c>
      <c r="V11" s="5" t="e">
        <f>#REF!</f>
        <v>#REF!</v>
      </c>
      <c r="W11" s="5" t="e">
        <f>#REF!</f>
        <v>#REF!</v>
      </c>
      <c r="X11" s="5" t="e">
        <f>#REF!</f>
        <v>#REF!</v>
      </c>
      <c r="Y11" s="5" t="e">
        <f>#REF!</f>
        <v>#REF!</v>
      </c>
      <c r="Z11" s="5" t="e">
        <f>#REF!</f>
        <v>#REF!</v>
      </c>
      <c r="AA11" s="6">
        <f>№1!Q16</f>
        <v>2.24E-4</v>
      </c>
      <c r="AB11" s="6">
        <f>'NiPA-62-F_UG_1__2026-03-24_11-4'!Q16</f>
        <v>-3.3100000000000002E-4</v>
      </c>
      <c r="AC11" s="6" t="e">
        <f>#REF!</f>
        <v>#REF!</v>
      </c>
      <c r="AD11" s="6" t="e">
        <f>#REF!</f>
        <v>#REF!</v>
      </c>
      <c r="AE11" s="6" t="e">
        <f>#REF!</f>
        <v>#REF!</v>
      </c>
      <c r="AF11" s="6" t="e">
        <f>#REF!</f>
        <v>#REF!</v>
      </c>
      <c r="AG11" s="6" t="e">
        <f>#REF!</f>
        <v>#REF!</v>
      </c>
      <c r="AH11" s="6" t="e">
        <f>#REF!</f>
        <v>#REF!</v>
      </c>
      <c r="AI11" s="5">
        <f>№1!S16</f>
        <v>19.236554999999999</v>
      </c>
      <c r="AJ11" s="5">
        <f>'NiPA-62-F_UG_1__2026-03-24_11-4'!S16</f>
        <v>12.812635</v>
      </c>
      <c r="AK11" s="5" t="e">
        <f>#REF!</f>
        <v>#REF!</v>
      </c>
      <c r="AL11" s="5" t="e">
        <f>#REF!</f>
        <v>#REF!</v>
      </c>
      <c r="AM11" s="5" t="e">
        <f>#REF!</f>
        <v>#REF!</v>
      </c>
      <c r="AN11" s="5" t="e">
        <f>#REF!</f>
        <v>#REF!</v>
      </c>
      <c r="AO11" s="5" t="e">
        <f>#REF!</f>
        <v>#REF!</v>
      </c>
      <c r="AP11" s="5" t="e">
        <f>#REF!</f>
        <v>#REF!</v>
      </c>
      <c r="AQ11" s="6">
        <f>№1!T16</f>
        <v>179.73275430546278</v>
      </c>
      <c r="AR11" s="6">
        <f>'NiPA-62-F_UG_1__2026-03-24_11-4'!T16</f>
        <v>56.536020999999998</v>
      </c>
      <c r="AS11" s="6" t="e">
        <f>#REF!</f>
        <v>#REF!</v>
      </c>
      <c r="AT11" s="6" t="e">
        <f>#REF!</f>
        <v>#REF!</v>
      </c>
      <c r="AU11" s="6" t="e">
        <f>#REF!</f>
        <v>#REF!</v>
      </c>
      <c r="AV11" s="6" t="e">
        <f>#REF!</f>
        <v>#REF!</v>
      </c>
      <c r="AW11" s="6" t="e">
        <f>#REF!</f>
        <v>#REF!</v>
      </c>
      <c r="AX11" s="6" t="e">
        <f>#REF!</f>
        <v>#REF!</v>
      </c>
    </row>
    <row r="12" spans="1:50" x14ac:dyDescent="0.25">
      <c r="A12" s="4">
        <f>'NiPA-62-F_UG_1__2026-03-24_11-4'!B17</f>
        <v>1100000000</v>
      </c>
      <c r="B12" s="4">
        <f t="shared" si="5"/>
        <v>1.1000000000000001</v>
      </c>
      <c r="C12" s="5">
        <f>№1!U17</f>
        <v>5.9862548236511079</v>
      </c>
      <c r="D12" s="5">
        <f>'NiPA-62-F_UG_1__2026-03-24_11-4'!U17</f>
        <v>9.3875489999999999</v>
      </c>
      <c r="E12" s="5" t="e">
        <f>#REF!</f>
        <v>#REF!</v>
      </c>
      <c r="F12" s="5" t="e">
        <f>#REF!</f>
        <v>#REF!</v>
      </c>
      <c r="G12" s="5" t="e">
        <f>#REF!</f>
        <v>#REF!</v>
      </c>
      <c r="H12" s="5" t="e">
        <f>#REF!</f>
        <v>#REF!</v>
      </c>
      <c r="I12" s="5" t="e">
        <f>#REF!</f>
        <v>#REF!</v>
      </c>
      <c r="J12" s="5" t="e">
        <f>#REF!</f>
        <v>#REF!</v>
      </c>
      <c r="K12" s="6">
        <f>№1!P17</f>
        <v>37.771552</v>
      </c>
      <c r="L12" s="6">
        <f>'NiPA-62-F_UG_1__2026-03-24_11-4'!P17</f>
        <v>39.725521999999998</v>
      </c>
      <c r="M12" s="6" t="e">
        <f>#REF!</f>
        <v>#REF!</v>
      </c>
      <c r="N12" s="6" t="e">
        <f>#REF!</f>
        <v>#REF!</v>
      </c>
      <c r="O12" s="6" t="e">
        <f>#REF!</f>
        <v>#REF!</v>
      </c>
      <c r="P12" s="6" t="e">
        <f>#REF!</f>
        <v>#REF!</v>
      </c>
      <c r="Q12" s="6" t="e">
        <f>#REF!</f>
        <v>#REF!</v>
      </c>
      <c r="R12" s="6" t="e">
        <f>#REF!</f>
        <v>#REF!</v>
      </c>
      <c r="S12" s="5">
        <f>№1!R17</f>
        <v>0.104119</v>
      </c>
      <c r="T12" s="5">
        <f>'NiPA-62-F_UG_1__2026-03-24_11-4'!R17</f>
        <v>0.57243100000000002</v>
      </c>
      <c r="U12" s="5" t="e">
        <f>#REF!</f>
        <v>#REF!</v>
      </c>
      <c r="V12" s="5" t="e">
        <f>#REF!</f>
        <v>#REF!</v>
      </c>
      <c r="W12" s="5" t="e">
        <f>#REF!</f>
        <v>#REF!</v>
      </c>
      <c r="X12" s="5" t="e">
        <f>#REF!</f>
        <v>#REF!</v>
      </c>
      <c r="Y12" s="5" t="e">
        <f>#REF!</f>
        <v>#REF!</v>
      </c>
      <c r="Z12" s="5" t="e">
        <f>#REF!</f>
        <v>#REF!</v>
      </c>
      <c r="AA12" s="6">
        <f>№1!Q17</f>
        <v>-3.8999999999999999E-5</v>
      </c>
      <c r="AB12" s="6">
        <f>'NiPA-62-F_UG_1__2026-03-24_11-4'!Q17</f>
        <v>2.6999999999999999E-5</v>
      </c>
      <c r="AC12" s="6" t="e">
        <f>#REF!</f>
        <v>#REF!</v>
      </c>
      <c r="AD12" s="6" t="e">
        <f>#REF!</f>
        <v>#REF!</v>
      </c>
      <c r="AE12" s="6" t="e">
        <f>#REF!</f>
        <v>#REF!</v>
      </c>
      <c r="AF12" s="6" t="e">
        <f>#REF!</f>
        <v>#REF!</v>
      </c>
      <c r="AG12" s="6" t="e">
        <f>#REF!</f>
        <v>#REF!</v>
      </c>
      <c r="AH12" s="6" t="e">
        <f>#REF!</f>
        <v>#REF!</v>
      </c>
      <c r="AI12" s="5">
        <f>№1!S17</f>
        <v>19.771552</v>
      </c>
      <c r="AJ12" s="5">
        <f>'NiPA-62-F_UG_1__2026-03-24_11-4'!S17</f>
        <v>12.725522</v>
      </c>
      <c r="AK12" s="5" t="e">
        <f>#REF!</f>
        <v>#REF!</v>
      </c>
      <c r="AL12" s="5" t="e">
        <f>#REF!</f>
        <v>#REF!</v>
      </c>
      <c r="AM12" s="5" t="e">
        <f>#REF!</f>
        <v>#REF!</v>
      </c>
      <c r="AN12" s="5" t="e">
        <f>#REF!</f>
        <v>#REF!</v>
      </c>
      <c r="AO12" s="5" t="e">
        <f>#REF!</f>
        <v>#REF!</v>
      </c>
      <c r="AP12" s="5" t="e">
        <f>#REF!</f>
        <v>#REF!</v>
      </c>
      <c r="AQ12" s="6">
        <f>№1!T17</f>
        <v>203.17271203427563</v>
      </c>
      <c r="AR12" s="6">
        <f>'NiPA-62-F_UG_1__2026-03-24_11-4'!T17</f>
        <v>55.442489000000002</v>
      </c>
      <c r="AS12" s="6" t="e">
        <f>#REF!</f>
        <v>#REF!</v>
      </c>
      <c r="AT12" s="6" t="e">
        <f>#REF!</f>
        <v>#REF!</v>
      </c>
      <c r="AU12" s="6" t="e">
        <f>#REF!</f>
        <v>#REF!</v>
      </c>
      <c r="AV12" s="6" t="e">
        <f>#REF!</f>
        <v>#REF!</v>
      </c>
      <c r="AW12" s="6" t="e">
        <f>#REF!</f>
        <v>#REF!</v>
      </c>
      <c r="AX12" s="6" t="e">
        <f>#REF!</f>
        <v>#REF!</v>
      </c>
    </row>
    <row r="13" spans="1:50" x14ac:dyDescent="0.25">
      <c r="A13" s="3">
        <f>'NiPA-62-F_UG_1__2026-03-24_11-4'!B18</f>
        <v>1200000000</v>
      </c>
      <c r="B13" s="4">
        <f t="shared" si="5"/>
        <v>1.2</v>
      </c>
      <c r="C13" s="5">
        <f>№1!U18</f>
        <v>6.2229498346411205</v>
      </c>
      <c r="D13" s="5">
        <f>'NiPA-62-F_UG_1__2026-03-24_11-4'!U18</f>
        <v>8.6580209999999997</v>
      </c>
      <c r="E13" s="5" t="e">
        <f>#REF!</f>
        <v>#REF!</v>
      </c>
      <c r="F13" s="5" t="e">
        <f>#REF!</f>
        <v>#REF!</v>
      </c>
      <c r="G13" s="5" t="e">
        <f>#REF!</f>
        <v>#REF!</v>
      </c>
      <c r="H13" s="5" t="e">
        <f>#REF!</f>
        <v>#REF!</v>
      </c>
      <c r="I13" s="5" t="e">
        <f>#REF!</f>
        <v>#REF!</v>
      </c>
      <c r="J13" s="5" t="e">
        <f>#REF!</f>
        <v>#REF!</v>
      </c>
      <c r="K13" s="6">
        <f>№1!P18</f>
        <v>37.939962999999999</v>
      </c>
      <c r="L13" s="6">
        <f>'NiPA-62-F_UG_1__2026-03-24_11-4'!P18</f>
        <v>39.374186000000002</v>
      </c>
      <c r="M13" s="6" t="e">
        <f>#REF!</f>
        <v>#REF!</v>
      </c>
      <c r="N13" s="6" t="e">
        <f>#REF!</f>
        <v>#REF!</v>
      </c>
      <c r="O13" s="6" t="e">
        <f>#REF!</f>
        <v>#REF!</v>
      </c>
      <c r="P13" s="6" t="e">
        <f>#REF!</f>
        <v>#REF!</v>
      </c>
      <c r="Q13" s="6" t="e">
        <f>#REF!</f>
        <v>#REF!</v>
      </c>
      <c r="R13" s="6" t="e">
        <f>#REF!</f>
        <v>#REF!</v>
      </c>
      <c r="S13" s="5">
        <f>№1!R18</f>
        <v>0.10525900000000001</v>
      </c>
      <c r="T13" s="5">
        <f>'NiPA-62-F_UG_1__2026-03-24_11-4'!R18</f>
        <v>0.59110499999999999</v>
      </c>
      <c r="U13" s="5" t="e">
        <f>#REF!</f>
        <v>#REF!</v>
      </c>
      <c r="V13" s="5" t="e">
        <f>#REF!</f>
        <v>#REF!</v>
      </c>
      <c r="W13" s="5" t="e">
        <f>#REF!</f>
        <v>#REF!</v>
      </c>
      <c r="X13" s="5" t="e">
        <f>#REF!</f>
        <v>#REF!</v>
      </c>
      <c r="Y13" s="5" t="e">
        <f>#REF!</f>
        <v>#REF!</v>
      </c>
      <c r="Z13" s="5" t="e">
        <f>#REF!</f>
        <v>#REF!</v>
      </c>
      <c r="AA13" s="6">
        <f>№1!Q18</f>
        <v>3.4999999999999997E-5</v>
      </c>
      <c r="AB13" s="6">
        <f>'NiPA-62-F_UG_1__2026-03-24_11-4'!Q18</f>
        <v>-1.15E-4</v>
      </c>
      <c r="AC13" s="6" t="e">
        <f>#REF!</f>
        <v>#REF!</v>
      </c>
      <c r="AD13" s="6" t="e">
        <f>#REF!</f>
        <v>#REF!</v>
      </c>
      <c r="AE13" s="6" t="e">
        <f>#REF!</f>
        <v>#REF!</v>
      </c>
      <c r="AF13" s="6" t="e">
        <f>#REF!</f>
        <v>#REF!</v>
      </c>
      <c r="AG13" s="6" t="e">
        <f>#REF!</f>
        <v>#REF!</v>
      </c>
      <c r="AH13" s="6" t="e">
        <f>#REF!</f>
        <v>#REF!</v>
      </c>
      <c r="AI13" s="5">
        <f>№1!S18</f>
        <v>19.939962999999999</v>
      </c>
      <c r="AJ13" s="5">
        <f>'NiPA-62-F_UG_1__2026-03-24_11-4'!S18</f>
        <v>12.374186</v>
      </c>
      <c r="AK13" s="5" t="e">
        <f>#REF!</f>
        <v>#REF!</v>
      </c>
      <c r="AL13" s="5" t="e">
        <f>#REF!</f>
        <v>#REF!</v>
      </c>
      <c r="AM13" s="5" t="e">
        <f>#REF!</f>
        <v>#REF!</v>
      </c>
      <c r="AN13" s="5" t="e">
        <f>#REF!</f>
        <v>#REF!</v>
      </c>
      <c r="AO13" s="5" t="e">
        <f>#REF!</f>
        <v>#REF!</v>
      </c>
      <c r="AP13" s="5" t="e">
        <f>#REF!</f>
        <v>#REF!</v>
      </c>
      <c r="AQ13" s="6">
        <f>№1!T18</f>
        <v>209.00330545854581</v>
      </c>
      <c r="AR13" s="6">
        <f>'NiPA-62-F_UG_1__2026-03-24_11-4'!T18</f>
        <v>49.283172</v>
      </c>
      <c r="AS13" s="6" t="e">
        <f>#REF!</f>
        <v>#REF!</v>
      </c>
      <c r="AT13" s="6" t="e">
        <f>#REF!</f>
        <v>#REF!</v>
      </c>
      <c r="AU13" s="6" t="e">
        <f>#REF!</f>
        <v>#REF!</v>
      </c>
      <c r="AV13" s="6" t="e">
        <f>#REF!</f>
        <v>#REF!</v>
      </c>
      <c r="AW13" s="6" t="e">
        <f>#REF!</f>
        <v>#REF!</v>
      </c>
      <c r="AX13" s="6" t="e">
        <f>#REF!</f>
        <v>#REF!</v>
      </c>
    </row>
    <row r="14" spans="1:50" x14ac:dyDescent="0.25">
      <c r="A14" s="4">
        <f>'NiPA-62-F_UG_1__2026-03-24_11-4'!B19</f>
        <v>1300000000</v>
      </c>
      <c r="B14" s="4">
        <f t="shared" si="5"/>
        <v>1.3</v>
      </c>
      <c r="C14" s="5">
        <f>№1!U19</f>
        <v>6.9786207913086233</v>
      </c>
      <c r="D14" s="5">
        <f>'NiPA-62-F_UG_1__2026-03-24_11-4'!U19</f>
        <v>8.7573290000000004</v>
      </c>
      <c r="E14" s="5" t="e">
        <f>#REF!</f>
        <v>#REF!</v>
      </c>
      <c r="F14" s="5" t="e">
        <f>#REF!</f>
        <v>#REF!</v>
      </c>
      <c r="G14" s="5" t="e">
        <f>#REF!</f>
        <v>#REF!</v>
      </c>
      <c r="H14" s="5" t="e">
        <f>#REF!</f>
        <v>#REF!</v>
      </c>
      <c r="I14" s="5" t="e">
        <f>#REF!</f>
        <v>#REF!</v>
      </c>
      <c r="J14" s="5" t="e">
        <f>#REF!</f>
        <v>#REF!</v>
      </c>
      <c r="K14" s="6">
        <f>№1!P19</f>
        <v>38.437696000000003</v>
      </c>
      <c r="L14" s="6">
        <f>'NiPA-62-F_UG_1__2026-03-24_11-4'!P19</f>
        <v>39.423717000000003</v>
      </c>
      <c r="M14" s="6" t="e">
        <f>#REF!</f>
        <v>#REF!</v>
      </c>
      <c r="N14" s="6" t="e">
        <f>#REF!</f>
        <v>#REF!</v>
      </c>
      <c r="O14" s="6" t="e">
        <f>#REF!</f>
        <v>#REF!</v>
      </c>
      <c r="P14" s="6" t="e">
        <f>#REF!</f>
        <v>#REF!</v>
      </c>
      <c r="Q14" s="6" t="e">
        <f>#REF!</f>
        <v>#REF!</v>
      </c>
      <c r="R14" s="6" t="e">
        <f>#REF!</f>
        <v>#REF!</v>
      </c>
      <c r="S14" s="5">
        <f>№1!R19</f>
        <v>0.110634</v>
      </c>
      <c r="T14" s="5">
        <f>'NiPA-62-F_UG_1__2026-03-24_11-4'!R19</f>
        <v>0.63044199999999995</v>
      </c>
      <c r="U14" s="5" t="e">
        <f>#REF!</f>
        <v>#REF!</v>
      </c>
      <c r="V14" s="5" t="e">
        <f>#REF!</f>
        <v>#REF!</v>
      </c>
      <c r="W14" s="5" t="e">
        <f>#REF!</f>
        <v>#REF!</v>
      </c>
      <c r="X14" s="5" t="e">
        <f>#REF!</f>
        <v>#REF!</v>
      </c>
      <c r="Y14" s="5" t="e">
        <f>#REF!</f>
        <v>#REF!</v>
      </c>
      <c r="Z14" s="5" t="e">
        <f>#REF!</f>
        <v>#REF!</v>
      </c>
      <c r="AA14" s="6">
        <f>№1!Q19</f>
        <v>-1.6000000000000001E-4</v>
      </c>
      <c r="AB14" s="6">
        <f>'NiPA-62-F_UG_1__2026-03-24_11-4'!Q19</f>
        <v>-4.1899999999999999E-4</v>
      </c>
      <c r="AC14" s="6" t="e">
        <f>#REF!</f>
        <v>#REF!</v>
      </c>
      <c r="AD14" s="6" t="e">
        <f>#REF!</f>
        <v>#REF!</v>
      </c>
      <c r="AE14" s="6" t="e">
        <f>#REF!</f>
        <v>#REF!</v>
      </c>
      <c r="AF14" s="6" t="e">
        <f>#REF!</f>
        <v>#REF!</v>
      </c>
      <c r="AG14" s="6" t="e">
        <f>#REF!</f>
        <v>#REF!</v>
      </c>
      <c r="AH14" s="6" t="e">
        <f>#REF!</f>
        <v>#REF!</v>
      </c>
      <c r="AI14" s="5">
        <f>№1!S19</f>
        <v>20.437695999999999</v>
      </c>
      <c r="AJ14" s="5">
        <f>'NiPA-62-F_UG_1__2026-03-24_11-4'!S19</f>
        <v>12.423717</v>
      </c>
      <c r="AK14" s="5" t="e">
        <f>#REF!</f>
        <v>#REF!</v>
      </c>
      <c r="AL14" s="5" t="e">
        <f>#REF!</f>
        <v>#REF!</v>
      </c>
      <c r="AM14" s="5" t="e">
        <f>#REF!</f>
        <v>#REF!</v>
      </c>
      <c r="AN14" s="5" t="e">
        <f>#REF!</f>
        <v>#REF!</v>
      </c>
      <c r="AO14" s="5" t="e">
        <f>#REF!</f>
        <v>#REF!</v>
      </c>
      <c r="AP14" s="5" t="e">
        <f>#REF!</f>
        <v>#REF!</v>
      </c>
      <c r="AQ14" s="6">
        <f>№1!T19</f>
        <v>223.24334087624203</v>
      </c>
      <c r="AR14" s="6">
        <f>'NiPA-62-F_UG_1__2026-03-24_11-4'!T19</f>
        <v>46.770688999999997</v>
      </c>
      <c r="AS14" s="6" t="e">
        <f>#REF!</f>
        <v>#REF!</v>
      </c>
      <c r="AT14" s="6" t="e">
        <f>#REF!</f>
        <v>#REF!</v>
      </c>
      <c r="AU14" s="6" t="e">
        <f>#REF!</f>
        <v>#REF!</v>
      </c>
      <c r="AV14" s="6" t="e">
        <f>#REF!</f>
        <v>#REF!</v>
      </c>
      <c r="AW14" s="6" t="e">
        <f>#REF!</f>
        <v>#REF!</v>
      </c>
      <c r="AX14" s="6" t="e">
        <f>#REF!</f>
        <v>#REF!</v>
      </c>
    </row>
    <row r="15" spans="1:50" x14ac:dyDescent="0.25">
      <c r="A15" s="3">
        <f>'NiPA-62-F_UG_1__2026-03-24_11-4'!B20</f>
        <v>1400000000</v>
      </c>
      <c r="B15" s="4">
        <f t="shared" si="5"/>
        <v>1.4</v>
      </c>
      <c r="C15" s="5">
        <f>№1!U20</f>
        <v>8.170136266119302</v>
      </c>
      <c r="D15" s="5">
        <f>'NiPA-62-F_UG_1__2026-03-24_11-4'!U20</f>
        <v>8.746848</v>
      </c>
      <c r="E15" s="5" t="e">
        <f>#REF!</f>
        <v>#REF!</v>
      </c>
      <c r="F15" s="5" t="e">
        <f>#REF!</f>
        <v>#REF!</v>
      </c>
      <c r="G15" s="5" t="e">
        <f>#REF!</f>
        <v>#REF!</v>
      </c>
      <c r="H15" s="5" t="e">
        <f>#REF!</f>
        <v>#REF!</v>
      </c>
      <c r="I15" s="5" t="e">
        <f>#REF!</f>
        <v>#REF!</v>
      </c>
      <c r="J15" s="5" t="e">
        <f>#REF!</f>
        <v>#REF!</v>
      </c>
      <c r="K15" s="6">
        <f>№1!P20</f>
        <v>39.122292999999999</v>
      </c>
      <c r="L15" s="6">
        <f>'NiPA-62-F_UG_1__2026-03-24_11-4'!P20</f>
        <v>39.418515999999997</v>
      </c>
      <c r="M15" s="6" t="e">
        <f>#REF!</f>
        <v>#REF!</v>
      </c>
      <c r="N15" s="6" t="e">
        <f>#REF!</f>
        <v>#REF!</v>
      </c>
      <c r="O15" s="6" t="e">
        <f>#REF!</f>
        <v>#REF!</v>
      </c>
      <c r="P15" s="6" t="e">
        <f>#REF!</f>
        <v>#REF!</v>
      </c>
      <c r="Q15" s="6" t="e">
        <f>#REF!</f>
        <v>#REF!</v>
      </c>
      <c r="R15" s="6" t="e">
        <f>#REF!</f>
        <v>#REF!</v>
      </c>
      <c r="S15" s="5">
        <f>№1!R20</f>
        <v>0.119502</v>
      </c>
      <c r="T15" s="5">
        <f>'NiPA-62-F_UG_1__2026-03-24_11-4'!R20</f>
        <v>0.64310699999999998</v>
      </c>
      <c r="U15" s="5" t="e">
        <f>#REF!</f>
        <v>#REF!</v>
      </c>
      <c r="V15" s="5" t="e">
        <f>#REF!</f>
        <v>#REF!</v>
      </c>
      <c r="W15" s="5" t="e">
        <f>#REF!</f>
        <v>#REF!</v>
      </c>
      <c r="X15" s="5" t="e">
        <f>#REF!</f>
        <v>#REF!</v>
      </c>
      <c r="Y15" s="5" t="e">
        <f>#REF!</f>
        <v>#REF!</v>
      </c>
      <c r="Z15" s="5" t="e">
        <f>#REF!</f>
        <v>#REF!</v>
      </c>
      <c r="AA15" s="6">
        <f>№1!Q20</f>
        <v>-2.1800000000000001E-4</v>
      </c>
      <c r="AB15" s="6">
        <f>'NiPA-62-F_UG_1__2026-03-24_11-4'!Q20</f>
        <v>-4.4299999999999998E-4</v>
      </c>
      <c r="AC15" s="6" t="e">
        <f>#REF!</f>
        <v>#REF!</v>
      </c>
      <c r="AD15" s="6" t="e">
        <f>#REF!</f>
        <v>#REF!</v>
      </c>
      <c r="AE15" s="6" t="e">
        <f>#REF!</f>
        <v>#REF!</v>
      </c>
      <c r="AF15" s="6" t="e">
        <f>#REF!</f>
        <v>#REF!</v>
      </c>
      <c r="AG15" s="6" t="e">
        <f>#REF!</f>
        <v>#REF!</v>
      </c>
      <c r="AH15" s="6" t="e">
        <f>#REF!</f>
        <v>#REF!</v>
      </c>
      <c r="AI15" s="5">
        <f>№1!S20</f>
        <v>21.122292999999999</v>
      </c>
      <c r="AJ15" s="5">
        <f>'NiPA-62-F_UG_1__2026-03-24_11-4'!S20</f>
        <v>12.418516</v>
      </c>
      <c r="AK15" s="5" t="e">
        <f>#REF!</f>
        <v>#REF!</v>
      </c>
      <c r="AL15" s="5" t="e">
        <f>#REF!</f>
        <v>#REF!</v>
      </c>
      <c r="AM15" s="5" t="e">
        <f>#REF!</f>
        <v>#REF!</v>
      </c>
      <c r="AN15" s="5" t="e">
        <f>#REF!</f>
        <v>#REF!</v>
      </c>
      <c r="AO15" s="5" t="e">
        <f>#REF!</f>
        <v>#REF!</v>
      </c>
      <c r="AP15" s="5" t="e">
        <f>#REF!</f>
        <v>#REF!</v>
      </c>
      <c r="AQ15" s="6">
        <f>№1!T20</f>
        <v>242.28645700105687</v>
      </c>
      <c r="AR15" s="6">
        <f>'NiPA-62-F_UG_1__2026-03-24_11-4'!T20</f>
        <v>45.791435999999997</v>
      </c>
      <c r="AS15" s="6" t="e">
        <f>#REF!</f>
        <v>#REF!</v>
      </c>
      <c r="AT15" s="6" t="e">
        <f>#REF!</f>
        <v>#REF!</v>
      </c>
      <c r="AU15" s="6" t="e">
        <f>#REF!</f>
        <v>#REF!</v>
      </c>
      <c r="AV15" s="6" t="e">
        <f>#REF!</f>
        <v>#REF!</v>
      </c>
      <c r="AW15" s="6" t="e">
        <f>#REF!</f>
        <v>#REF!</v>
      </c>
      <c r="AX15" s="6" t="e">
        <f>#REF!</f>
        <v>#REF!</v>
      </c>
    </row>
    <row r="16" spans="1:50" x14ac:dyDescent="0.25">
      <c r="A16" s="4">
        <f>'NiPA-62-F_UG_1__2026-03-24_11-4'!B21</f>
        <v>1500000000</v>
      </c>
      <c r="B16" s="4">
        <f t="shared" si="5"/>
        <v>1.5</v>
      </c>
      <c r="C16" s="5">
        <f>№1!U21</f>
        <v>9.5329694224553609</v>
      </c>
      <c r="D16" s="5">
        <f>'NiPA-62-F_UG_1__2026-03-24_11-4'!U21</f>
        <v>8.6077239999999993</v>
      </c>
      <c r="E16" s="5" t="e">
        <f>#REF!</f>
        <v>#REF!</v>
      </c>
      <c r="F16" s="5" t="e">
        <f>#REF!</f>
        <v>#REF!</v>
      </c>
      <c r="G16" s="5" t="e">
        <f>#REF!</f>
        <v>#REF!</v>
      </c>
      <c r="H16" s="5" t="e">
        <f>#REF!</f>
        <v>#REF!</v>
      </c>
      <c r="I16" s="5" t="e">
        <f>#REF!</f>
        <v>#REF!</v>
      </c>
      <c r="J16" s="5" t="e">
        <f>#REF!</f>
        <v>#REF!</v>
      </c>
      <c r="K16" s="6">
        <f>№1!P21</f>
        <v>39.792282</v>
      </c>
      <c r="L16" s="6">
        <f>'NiPA-62-F_UG_1__2026-03-24_11-4'!P21</f>
        <v>39.348883000000001</v>
      </c>
      <c r="M16" s="6" t="e">
        <f>#REF!</f>
        <v>#REF!</v>
      </c>
      <c r="N16" s="6" t="e">
        <f>#REF!</f>
        <v>#REF!</v>
      </c>
      <c r="O16" s="6" t="e">
        <f>#REF!</f>
        <v>#REF!</v>
      </c>
      <c r="P16" s="6" t="e">
        <f>#REF!</f>
        <v>#REF!</v>
      </c>
      <c r="Q16" s="6" t="e">
        <f>#REF!</f>
        <v>#REF!</v>
      </c>
      <c r="R16" s="6" t="e">
        <f>#REF!</f>
        <v>#REF!</v>
      </c>
      <c r="S16" s="5">
        <f>№1!R21</f>
        <v>0.12764400000000001</v>
      </c>
      <c r="T16" s="5">
        <f>'NiPA-62-F_UG_1__2026-03-24_11-4'!R21</f>
        <v>0.65504600000000002</v>
      </c>
      <c r="U16" s="5" t="e">
        <f>#REF!</f>
        <v>#REF!</v>
      </c>
      <c r="V16" s="5" t="e">
        <f>#REF!</f>
        <v>#REF!</v>
      </c>
      <c r="W16" s="5" t="e">
        <f>#REF!</f>
        <v>#REF!</v>
      </c>
      <c r="X16" s="5" t="e">
        <f>#REF!</f>
        <v>#REF!</v>
      </c>
      <c r="Y16" s="5" t="e">
        <f>#REF!</f>
        <v>#REF!</v>
      </c>
      <c r="Z16" s="5" t="e">
        <f>#REF!</f>
        <v>#REF!</v>
      </c>
      <c r="AA16" s="6">
        <f>№1!Q21</f>
        <v>-1.2999999999999999E-5</v>
      </c>
      <c r="AB16" s="6">
        <f>'NiPA-62-F_UG_1__2026-03-24_11-4'!Q21</f>
        <v>-2.4000000000000001E-4</v>
      </c>
      <c r="AC16" s="6" t="e">
        <f>#REF!</f>
        <v>#REF!</v>
      </c>
      <c r="AD16" s="6" t="e">
        <f>#REF!</f>
        <v>#REF!</v>
      </c>
      <c r="AE16" s="6" t="e">
        <f>#REF!</f>
        <v>#REF!</v>
      </c>
      <c r="AF16" s="6" t="e">
        <f>#REF!</f>
        <v>#REF!</v>
      </c>
      <c r="AG16" s="6" t="e">
        <f>#REF!</f>
        <v>#REF!</v>
      </c>
      <c r="AH16" s="6" t="e">
        <f>#REF!</f>
        <v>#REF!</v>
      </c>
      <c r="AI16" s="5">
        <f>№1!S21</f>
        <v>21.792282</v>
      </c>
      <c r="AJ16" s="5">
        <f>'NiPA-62-F_UG_1__2026-03-24_11-4'!S21</f>
        <v>12.348883000000001</v>
      </c>
      <c r="AK16" s="5" t="e">
        <f>#REF!</f>
        <v>#REF!</v>
      </c>
      <c r="AL16" s="5" t="e">
        <f>#REF!</f>
        <v>#REF!</v>
      </c>
      <c r="AM16" s="5" t="e">
        <f>#REF!</f>
        <v>#REF!</v>
      </c>
      <c r="AN16" s="5" t="e">
        <f>#REF!</f>
        <v>#REF!</v>
      </c>
      <c r="AO16" s="5" t="e">
        <f>#REF!</f>
        <v>#REF!</v>
      </c>
      <c r="AP16" s="5" t="e">
        <f>#REF!</f>
        <v>#REF!</v>
      </c>
      <c r="AQ16" s="6">
        <f>№1!T21</f>
        <v>264.96331560566159</v>
      </c>
      <c r="AR16" s="6">
        <f>'NiPA-62-F_UG_1__2026-03-24_11-4'!T21</f>
        <v>44.198300000000003</v>
      </c>
      <c r="AS16" s="6" t="e">
        <f>#REF!</f>
        <v>#REF!</v>
      </c>
      <c r="AT16" s="6" t="e">
        <f>#REF!</f>
        <v>#REF!</v>
      </c>
      <c r="AU16" s="6" t="e">
        <f>#REF!</f>
        <v>#REF!</v>
      </c>
      <c r="AV16" s="6" t="e">
        <f>#REF!</f>
        <v>#REF!</v>
      </c>
      <c r="AW16" s="6" t="e">
        <f>#REF!</f>
        <v>#REF!</v>
      </c>
      <c r="AX16" s="6" t="e">
        <f>#REF!</f>
        <v>#REF!</v>
      </c>
    </row>
    <row r="17" spans="1:50" x14ac:dyDescent="0.25">
      <c r="A17" s="3">
        <f>'NiPA-62-F_UG_1__2026-03-24_11-4'!B22</f>
        <v>1600000000</v>
      </c>
      <c r="B17" s="4">
        <f t="shared" si="5"/>
        <v>1.6</v>
      </c>
      <c r="C17" s="5">
        <f>№1!U22</f>
        <v>10.639100221217161</v>
      </c>
      <c r="D17" s="5">
        <f>'NiPA-62-F_UG_1__2026-03-24_11-4'!U22</f>
        <v>8.4104080000000003</v>
      </c>
      <c r="E17" s="5" t="e">
        <f>#REF!</f>
        <v>#REF!</v>
      </c>
      <c r="F17" s="5" t="e">
        <f>#REF!</f>
        <v>#REF!</v>
      </c>
      <c r="G17" s="5" t="e">
        <f>#REF!</f>
        <v>#REF!</v>
      </c>
      <c r="H17" s="5" t="e">
        <f>#REF!</f>
        <v>#REF!</v>
      </c>
      <c r="I17" s="5" t="e">
        <f>#REF!</f>
        <v>#REF!</v>
      </c>
      <c r="J17" s="5" t="e">
        <f>#REF!</f>
        <v>#REF!</v>
      </c>
      <c r="K17" s="6">
        <f>№1!P22</f>
        <v>40.269049000000003</v>
      </c>
      <c r="L17" s="6">
        <f>'NiPA-62-F_UG_1__2026-03-24_11-4'!P22</f>
        <v>39.248170999999999</v>
      </c>
      <c r="M17" s="6" t="e">
        <f>#REF!</f>
        <v>#REF!</v>
      </c>
      <c r="N17" s="6" t="e">
        <f>#REF!</f>
        <v>#REF!</v>
      </c>
      <c r="O17" s="6" t="e">
        <f>#REF!</f>
        <v>#REF!</v>
      </c>
      <c r="P17" s="6" t="e">
        <f>#REF!</f>
        <v>#REF!</v>
      </c>
      <c r="Q17" s="6" t="e">
        <f>#REF!</f>
        <v>#REF!</v>
      </c>
      <c r="R17" s="6" t="e">
        <f>#REF!</f>
        <v>#REF!</v>
      </c>
      <c r="S17" s="5">
        <f>№1!R22</f>
        <v>0.13125800000000001</v>
      </c>
      <c r="T17" s="5">
        <f>'NiPA-62-F_UG_1__2026-03-24_11-4'!R22</f>
        <v>0.67415599999999998</v>
      </c>
      <c r="U17" s="5" t="e">
        <f>#REF!</f>
        <v>#REF!</v>
      </c>
      <c r="V17" s="5" t="e">
        <f>#REF!</f>
        <v>#REF!</v>
      </c>
      <c r="W17" s="5" t="e">
        <f>#REF!</f>
        <v>#REF!</v>
      </c>
      <c r="X17" s="5" t="e">
        <f>#REF!</f>
        <v>#REF!</v>
      </c>
      <c r="Y17" s="5" t="e">
        <f>#REF!</f>
        <v>#REF!</v>
      </c>
      <c r="Z17" s="5" t="e">
        <f>#REF!</f>
        <v>#REF!</v>
      </c>
      <c r="AA17" s="6">
        <f>№1!Q22</f>
        <v>1.21E-4</v>
      </c>
      <c r="AB17" s="6">
        <f>'NiPA-62-F_UG_1__2026-03-24_11-4'!Q22</f>
        <v>-2.9500000000000001E-4</v>
      </c>
      <c r="AC17" s="6" t="e">
        <f>#REF!</f>
        <v>#REF!</v>
      </c>
      <c r="AD17" s="6" t="e">
        <f>#REF!</f>
        <v>#REF!</v>
      </c>
      <c r="AE17" s="6" t="e">
        <f>#REF!</f>
        <v>#REF!</v>
      </c>
      <c r="AF17" s="6" t="e">
        <f>#REF!</f>
        <v>#REF!</v>
      </c>
      <c r="AG17" s="6" t="e">
        <f>#REF!</f>
        <v>#REF!</v>
      </c>
      <c r="AH17" s="6" t="e">
        <f>#REF!</f>
        <v>#REF!</v>
      </c>
      <c r="AI17" s="5">
        <f>№1!S22</f>
        <v>22.269048999999999</v>
      </c>
      <c r="AJ17" s="5">
        <f>'NiPA-62-F_UG_1__2026-03-24_11-4'!S22</f>
        <v>12.248170999999999</v>
      </c>
      <c r="AK17" s="5" t="e">
        <f>#REF!</f>
        <v>#REF!</v>
      </c>
      <c r="AL17" s="5" t="e">
        <f>#REF!</f>
        <v>#REF!</v>
      </c>
      <c r="AM17" s="5" t="e">
        <f>#REF!</f>
        <v>#REF!</v>
      </c>
      <c r="AN17" s="5" t="e">
        <f>#REF!</f>
        <v>#REF!</v>
      </c>
      <c r="AO17" s="5" t="e">
        <f>#REF!</f>
        <v>#REF!</v>
      </c>
      <c r="AP17" s="5" t="e">
        <f>#REF!</f>
        <v>#REF!</v>
      </c>
      <c r="AQ17" s="6">
        <f>№1!T22</f>
        <v>287.76489505861792</v>
      </c>
      <c r="AR17" s="6">
        <f>'NiPA-62-F_UG_1__2026-03-24_11-4'!T22</f>
        <v>41.900098</v>
      </c>
      <c r="AS17" s="6" t="e">
        <f>#REF!</f>
        <v>#REF!</v>
      </c>
      <c r="AT17" s="6" t="e">
        <f>#REF!</f>
        <v>#REF!</v>
      </c>
      <c r="AU17" s="6" t="e">
        <f>#REF!</f>
        <v>#REF!</v>
      </c>
      <c r="AV17" s="6" t="e">
        <f>#REF!</f>
        <v>#REF!</v>
      </c>
      <c r="AW17" s="6" t="e">
        <f>#REF!</f>
        <v>#REF!</v>
      </c>
      <c r="AX17" s="6" t="e">
        <f>#REF!</f>
        <v>#REF!</v>
      </c>
    </row>
    <row r="18" spans="1:50" x14ac:dyDescent="0.25">
      <c r="A18" s="4">
        <f>'NiPA-62-F_UG_1__2026-03-24_11-4'!B23</f>
        <v>1700000000</v>
      </c>
      <c r="B18" s="4">
        <f t="shared" si="5"/>
        <v>1.7</v>
      </c>
      <c r="C18" s="5">
        <f>№1!U23</f>
        <v>10.767736021979838</v>
      </c>
      <c r="D18" s="5">
        <f>'NiPA-62-F_UG_1__2026-03-24_11-4'!U23</f>
        <v>8.3978649999999995</v>
      </c>
      <c r="E18" s="5" t="e">
        <f>#REF!</f>
        <v>#REF!</v>
      </c>
      <c r="F18" s="5" t="e">
        <f>#REF!</f>
        <v>#REF!</v>
      </c>
      <c r="G18" s="5" t="e">
        <f>#REF!</f>
        <v>#REF!</v>
      </c>
      <c r="H18" s="5" t="e">
        <f>#REF!</f>
        <v>#REF!</v>
      </c>
      <c r="I18" s="5" t="e">
        <f>#REF!</f>
        <v>#REF!</v>
      </c>
      <c r="J18" s="5" t="e">
        <f>#REF!</f>
        <v>#REF!</v>
      </c>
      <c r="K18" s="6">
        <f>№1!P23</f>
        <v>40.321244</v>
      </c>
      <c r="L18" s="6">
        <f>'NiPA-62-F_UG_1__2026-03-24_11-4'!P23</f>
        <v>39.241689000000001</v>
      </c>
      <c r="M18" s="6" t="e">
        <f>#REF!</f>
        <v>#REF!</v>
      </c>
      <c r="N18" s="6" t="e">
        <f>#REF!</f>
        <v>#REF!</v>
      </c>
      <c r="O18" s="6" t="e">
        <f>#REF!</f>
        <v>#REF!</v>
      </c>
      <c r="P18" s="6" t="e">
        <f>#REF!</f>
        <v>#REF!</v>
      </c>
      <c r="Q18" s="6" t="e">
        <f>#REF!</f>
        <v>#REF!</v>
      </c>
      <c r="R18" s="6" t="e">
        <f>#REF!</f>
        <v>#REF!</v>
      </c>
      <c r="S18" s="5">
        <f>№1!R23</f>
        <v>0.134406</v>
      </c>
      <c r="T18" s="5">
        <f>'NiPA-62-F_UG_1__2026-03-24_11-4'!R23</f>
        <v>0.66640200000000005</v>
      </c>
      <c r="U18" s="5" t="e">
        <f>#REF!</f>
        <v>#REF!</v>
      </c>
      <c r="V18" s="5" t="e">
        <f>#REF!</f>
        <v>#REF!</v>
      </c>
      <c r="W18" s="5" t="e">
        <f>#REF!</f>
        <v>#REF!</v>
      </c>
      <c r="X18" s="5" t="e">
        <f>#REF!</f>
        <v>#REF!</v>
      </c>
      <c r="Y18" s="5" t="e">
        <f>#REF!</f>
        <v>#REF!</v>
      </c>
      <c r="Z18" s="5" t="e">
        <f>#REF!</f>
        <v>#REF!</v>
      </c>
      <c r="AA18" s="6">
        <f>№1!Q23</f>
        <v>1.46E-4</v>
      </c>
      <c r="AB18" s="6">
        <f>'NiPA-62-F_UG_1__2026-03-24_11-4'!Q23</f>
        <v>-2.9E-4</v>
      </c>
      <c r="AC18" s="6" t="e">
        <f>#REF!</f>
        <v>#REF!</v>
      </c>
      <c r="AD18" s="6" t="e">
        <f>#REF!</f>
        <v>#REF!</v>
      </c>
      <c r="AE18" s="6" t="e">
        <f>#REF!</f>
        <v>#REF!</v>
      </c>
      <c r="AF18" s="6" t="e">
        <f>#REF!</f>
        <v>#REF!</v>
      </c>
      <c r="AG18" s="6" t="e">
        <f>#REF!</f>
        <v>#REF!</v>
      </c>
      <c r="AH18" s="6" t="e">
        <f>#REF!</f>
        <v>#REF!</v>
      </c>
      <c r="AI18" s="5">
        <f>№1!S23</f>
        <v>22.321244</v>
      </c>
      <c r="AJ18" s="5">
        <f>'NiPA-62-F_UG_1__2026-03-24_11-4'!S23</f>
        <v>12.241688999999999</v>
      </c>
      <c r="AK18" s="5" t="e">
        <f>#REF!</f>
        <v>#REF!</v>
      </c>
      <c r="AL18" s="5" t="e">
        <f>#REF!</f>
        <v>#REF!</v>
      </c>
      <c r="AM18" s="5" t="e">
        <f>#REF!</f>
        <v>#REF!</v>
      </c>
      <c r="AN18" s="5" t="e">
        <f>#REF!</f>
        <v>#REF!</v>
      </c>
      <c r="AO18" s="5" t="e">
        <f>#REF!</f>
        <v>#REF!</v>
      </c>
      <c r="AP18" s="5" t="e">
        <f>#REF!</f>
        <v>#REF!</v>
      </c>
      <c r="AQ18" s="6">
        <f>№1!T23</f>
        <v>284.44309160124175</v>
      </c>
      <c r="AR18" s="6">
        <f>'NiPA-62-F_UG_1__2026-03-24_11-4'!T23</f>
        <v>42.320447999999999</v>
      </c>
      <c r="AS18" s="6" t="e">
        <f>#REF!</f>
        <v>#REF!</v>
      </c>
      <c r="AT18" s="6" t="e">
        <f>#REF!</f>
        <v>#REF!</v>
      </c>
      <c r="AU18" s="6" t="e">
        <f>#REF!</f>
        <v>#REF!</v>
      </c>
      <c r="AV18" s="6" t="e">
        <f>#REF!</f>
        <v>#REF!</v>
      </c>
      <c r="AW18" s="6" t="e">
        <f>#REF!</f>
        <v>#REF!</v>
      </c>
      <c r="AX18" s="6" t="e">
        <f>#REF!</f>
        <v>#REF!</v>
      </c>
    </row>
    <row r="19" spans="1:50" x14ac:dyDescent="0.25">
      <c r="A19" s="3">
        <f>'NiPA-62-F_UG_1__2026-03-24_11-4'!B24</f>
        <v>1800000000</v>
      </c>
      <c r="B19" s="4">
        <f t="shared" si="5"/>
        <v>1.8</v>
      </c>
      <c r="C19" s="5">
        <f>№1!U24</f>
        <v>11.388050910472018</v>
      </c>
      <c r="D19" s="5">
        <f>'NiPA-62-F_UG_1__2026-03-24_11-4'!U24</f>
        <v>8.9431449999999995</v>
      </c>
      <c r="E19" s="5" t="e">
        <f>#REF!</f>
        <v>#REF!</v>
      </c>
      <c r="F19" s="5" t="e">
        <f>#REF!</f>
        <v>#REF!</v>
      </c>
      <c r="G19" s="5" t="e">
        <f>#REF!</f>
        <v>#REF!</v>
      </c>
      <c r="H19" s="5" t="e">
        <f>#REF!</f>
        <v>#REF!</v>
      </c>
      <c r="I19" s="5" t="e">
        <f>#REF!</f>
        <v>#REF!</v>
      </c>
      <c r="J19" s="5" t="e">
        <f>#REF!</f>
        <v>#REF!</v>
      </c>
      <c r="K19" s="6">
        <f>№1!P24</f>
        <v>40.564494000000003</v>
      </c>
      <c r="L19" s="6">
        <f>'NiPA-62-F_UG_1__2026-03-24_11-4'!P24</f>
        <v>39.514902999999997</v>
      </c>
      <c r="M19" s="6" t="e">
        <f>#REF!</f>
        <v>#REF!</v>
      </c>
      <c r="N19" s="6" t="e">
        <f>#REF!</f>
        <v>#REF!</v>
      </c>
      <c r="O19" s="6" t="e">
        <f>#REF!</f>
        <v>#REF!</v>
      </c>
      <c r="P19" s="6" t="e">
        <f>#REF!</f>
        <v>#REF!</v>
      </c>
      <c r="Q19" s="6" t="e">
        <f>#REF!</f>
        <v>#REF!</v>
      </c>
      <c r="R19" s="6" t="e">
        <f>#REF!</f>
        <v>#REF!</v>
      </c>
      <c r="S19" s="5">
        <f>№1!R24</f>
        <v>0.13747799999999999</v>
      </c>
      <c r="T19" s="5">
        <f>'NiPA-62-F_UG_1__2026-03-24_11-4'!R24</f>
        <v>0.64867799999999998</v>
      </c>
      <c r="U19" s="5" t="e">
        <f>#REF!</f>
        <v>#REF!</v>
      </c>
      <c r="V19" s="5" t="e">
        <f>#REF!</f>
        <v>#REF!</v>
      </c>
      <c r="W19" s="5" t="e">
        <f>#REF!</f>
        <v>#REF!</v>
      </c>
      <c r="X19" s="5" t="e">
        <f>#REF!</f>
        <v>#REF!</v>
      </c>
      <c r="Y19" s="5" t="e">
        <f>#REF!</f>
        <v>#REF!</v>
      </c>
      <c r="Z19" s="5" t="e">
        <f>#REF!</f>
        <v>#REF!</v>
      </c>
      <c r="AA19" s="6">
        <f>№1!Q24</f>
        <v>2.5999999999999998E-5</v>
      </c>
      <c r="AB19" s="6">
        <f>'NiPA-62-F_UG_1__2026-03-24_11-4'!Q24</f>
        <v>-1.7699999999999999E-4</v>
      </c>
      <c r="AC19" s="6" t="e">
        <f>#REF!</f>
        <v>#REF!</v>
      </c>
      <c r="AD19" s="6" t="e">
        <f>#REF!</f>
        <v>#REF!</v>
      </c>
      <c r="AE19" s="6" t="e">
        <f>#REF!</f>
        <v>#REF!</v>
      </c>
      <c r="AF19" s="6" t="e">
        <f>#REF!</f>
        <v>#REF!</v>
      </c>
      <c r="AG19" s="6" t="e">
        <f>#REF!</f>
        <v>#REF!</v>
      </c>
      <c r="AH19" s="6" t="e">
        <f>#REF!</f>
        <v>#REF!</v>
      </c>
      <c r="AI19" s="5">
        <f>№1!S24</f>
        <v>22.564494</v>
      </c>
      <c r="AJ19" s="5">
        <f>'NiPA-62-F_UG_1__2026-03-24_11-4'!S24</f>
        <v>12.514903</v>
      </c>
      <c r="AK19" s="5" t="e">
        <f>#REF!</f>
        <v>#REF!</v>
      </c>
      <c r="AL19" s="5" t="e">
        <f>#REF!</f>
        <v>#REF!</v>
      </c>
      <c r="AM19" s="5" t="e">
        <f>#REF!</f>
        <v>#REF!</v>
      </c>
      <c r="AN19" s="5" t="e">
        <f>#REF!</f>
        <v>#REF!</v>
      </c>
      <c r="AO19" s="5" t="e">
        <f>#REF!</f>
        <v>#REF!</v>
      </c>
      <c r="AP19" s="5" t="e">
        <f>#REF!</f>
        <v>#REF!</v>
      </c>
      <c r="AQ19" s="6">
        <f>№1!T24</f>
        <v>294.2017521770756</v>
      </c>
      <c r="AR19" s="6">
        <f>'NiPA-62-F_UG_1__2026-03-24_11-4'!T24</f>
        <v>46.478917000000003</v>
      </c>
      <c r="AS19" s="6" t="e">
        <f>#REF!</f>
        <v>#REF!</v>
      </c>
      <c r="AT19" s="6" t="e">
        <f>#REF!</f>
        <v>#REF!</v>
      </c>
      <c r="AU19" s="6" t="e">
        <f>#REF!</f>
        <v>#REF!</v>
      </c>
      <c r="AV19" s="6" t="e">
        <f>#REF!</f>
        <v>#REF!</v>
      </c>
      <c r="AW19" s="6" t="e">
        <f>#REF!</f>
        <v>#REF!</v>
      </c>
      <c r="AX19" s="6" t="e">
        <f>#REF!</f>
        <v>#REF!</v>
      </c>
    </row>
    <row r="20" spans="1:50" x14ac:dyDescent="0.25">
      <c r="A20" s="4">
        <f>'NiPA-62-F_UG_1__2026-03-24_11-4'!B25</f>
        <v>1900000000</v>
      </c>
      <c r="B20" s="4">
        <f t="shared" si="5"/>
        <v>1.9</v>
      </c>
      <c r="C20" s="5">
        <f>№1!U25</f>
        <v>11.126252202104432</v>
      </c>
      <c r="D20" s="5">
        <f>'NiPA-62-F_UG_1__2026-03-24_11-4'!U25</f>
        <v>9.0489289999999993</v>
      </c>
      <c r="E20" s="5" t="e">
        <f>#REF!</f>
        <v>#REF!</v>
      </c>
      <c r="F20" s="5" t="e">
        <f>#REF!</f>
        <v>#REF!</v>
      </c>
      <c r="G20" s="5" t="e">
        <f>#REF!</f>
        <v>#REF!</v>
      </c>
      <c r="H20" s="5" t="e">
        <f>#REF!</f>
        <v>#REF!</v>
      </c>
      <c r="I20" s="5" t="e">
        <f>#REF!</f>
        <v>#REF!</v>
      </c>
      <c r="J20" s="5" t="e">
        <f>#REF!</f>
        <v>#REF!</v>
      </c>
      <c r="K20" s="6">
        <f>№1!P25</f>
        <v>40.463489000000003</v>
      </c>
      <c r="L20" s="6">
        <f>'NiPA-62-F_UG_1__2026-03-24_11-4'!P25</f>
        <v>39.565972000000002</v>
      </c>
      <c r="M20" s="6" t="e">
        <f>#REF!</f>
        <v>#REF!</v>
      </c>
      <c r="N20" s="6" t="e">
        <f>#REF!</f>
        <v>#REF!</v>
      </c>
      <c r="O20" s="6" t="e">
        <f>#REF!</f>
        <v>#REF!</v>
      </c>
      <c r="P20" s="6" t="e">
        <f>#REF!</f>
        <v>#REF!</v>
      </c>
      <c r="Q20" s="6" t="e">
        <f>#REF!</f>
        <v>#REF!</v>
      </c>
      <c r="R20" s="6" t="e">
        <f>#REF!</f>
        <v>#REF!</v>
      </c>
      <c r="S20" s="5">
        <f>№1!R25</f>
        <v>0.140542</v>
      </c>
      <c r="T20" s="5">
        <f>'NiPA-62-F_UG_1__2026-03-24_11-4'!R25</f>
        <v>0.60949600000000004</v>
      </c>
      <c r="U20" s="5" t="e">
        <f>#REF!</f>
        <v>#REF!</v>
      </c>
      <c r="V20" s="5" t="e">
        <f>#REF!</f>
        <v>#REF!</v>
      </c>
      <c r="W20" s="5" t="e">
        <f>#REF!</f>
        <v>#REF!</v>
      </c>
      <c r="X20" s="5" t="e">
        <f>#REF!</f>
        <v>#REF!</v>
      </c>
      <c r="Y20" s="5" t="e">
        <f>#REF!</f>
        <v>#REF!</v>
      </c>
      <c r="Z20" s="5" t="e">
        <f>#REF!</f>
        <v>#REF!</v>
      </c>
      <c r="AA20" s="6">
        <f>№1!Q25</f>
        <v>-2.4600000000000002E-4</v>
      </c>
      <c r="AB20" s="6">
        <f>'NiPA-62-F_UG_1__2026-03-24_11-4'!Q25</f>
        <v>-5.9599999999999996E-4</v>
      </c>
      <c r="AC20" s="6" t="e">
        <f>#REF!</f>
        <v>#REF!</v>
      </c>
      <c r="AD20" s="6" t="e">
        <f>#REF!</f>
        <v>#REF!</v>
      </c>
      <c r="AE20" s="6" t="e">
        <f>#REF!</f>
        <v>#REF!</v>
      </c>
      <c r="AF20" s="6" t="e">
        <f>#REF!</f>
        <v>#REF!</v>
      </c>
      <c r="AG20" s="6" t="e">
        <f>#REF!</f>
        <v>#REF!</v>
      </c>
      <c r="AH20" s="6" t="e">
        <f>#REF!</f>
        <v>#REF!</v>
      </c>
      <c r="AI20" s="5">
        <f>№1!S25</f>
        <v>22.463488999999999</v>
      </c>
      <c r="AJ20" s="5">
        <f>'NiPA-62-F_UG_1__2026-03-24_11-4'!S25</f>
        <v>12.565972</v>
      </c>
      <c r="AK20" s="5" t="e">
        <f>#REF!</f>
        <v>#REF!</v>
      </c>
      <c r="AL20" s="5" t="e">
        <f>#REF!</f>
        <v>#REF!</v>
      </c>
      <c r="AM20" s="5" t="e">
        <f>#REF!</f>
        <v>#REF!</v>
      </c>
      <c r="AN20" s="5" t="e">
        <f>#REF!</f>
        <v>#REF!</v>
      </c>
      <c r="AO20" s="5" t="e">
        <f>#REF!</f>
        <v>#REF!</v>
      </c>
      <c r="AP20" s="5" t="e">
        <f>#REF!</f>
        <v>#REF!</v>
      </c>
      <c r="AQ20" s="6">
        <f>№1!T25</f>
        <v>281.13498526257558</v>
      </c>
      <c r="AR20" s="6">
        <f>'NiPA-62-F_UG_1__2026-03-24_11-4'!T25</f>
        <v>50.086720999999997</v>
      </c>
      <c r="AS20" s="6" t="e">
        <f>#REF!</f>
        <v>#REF!</v>
      </c>
      <c r="AT20" s="6" t="e">
        <f>#REF!</f>
        <v>#REF!</v>
      </c>
      <c r="AU20" s="6" t="e">
        <f>#REF!</f>
        <v>#REF!</v>
      </c>
      <c r="AV20" s="6" t="e">
        <f>#REF!</f>
        <v>#REF!</v>
      </c>
      <c r="AW20" s="6" t="e">
        <f>#REF!</f>
        <v>#REF!</v>
      </c>
      <c r="AX20" s="6" t="e">
        <f>#REF!</f>
        <v>#REF!</v>
      </c>
    </row>
    <row r="21" spans="1:50" x14ac:dyDescent="0.25">
      <c r="A21" s="3">
        <f>'NiPA-62-F_UG_1__2026-03-24_11-4'!B26</f>
        <v>2000000000</v>
      </c>
      <c r="B21" s="4">
        <f t="shared" si="5"/>
        <v>2</v>
      </c>
      <c r="C21" s="5">
        <f>№1!U26</f>
        <v>11.96670541192522</v>
      </c>
      <c r="D21" s="5">
        <f>'NiPA-62-F_UG_1__2026-03-24_11-4'!U26</f>
        <v>9.5213420000000006</v>
      </c>
      <c r="E21" s="5" t="e">
        <f>#REF!</f>
        <v>#REF!</v>
      </c>
      <c r="F21" s="5" t="e">
        <f>#REF!</f>
        <v>#REF!</v>
      </c>
      <c r="G21" s="5" t="e">
        <f>#REF!</f>
        <v>#REF!</v>
      </c>
      <c r="H21" s="5" t="e">
        <f>#REF!</f>
        <v>#REF!</v>
      </c>
      <c r="I21" s="5" t="e">
        <f>#REF!</f>
        <v>#REF!</v>
      </c>
      <c r="J21" s="5" t="e">
        <f>#REF!</f>
        <v>#REF!</v>
      </c>
      <c r="K21" s="6">
        <f>№1!P26</f>
        <v>40.779746000000003</v>
      </c>
      <c r="L21" s="6">
        <f>'NiPA-62-F_UG_1__2026-03-24_11-4'!P26</f>
        <v>39.786982000000002</v>
      </c>
      <c r="M21" s="6" t="e">
        <f>#REF!</f>
        <v>#REF!</v>
      </c>
      <c r="N21" s="6" t="e">
        <f>#REF!</f>
        <v>#REF!</v>
      </c>
      <c r="O21" s="6" t="e">
        <f>#REF!</f>
        <v>#REF!</v>
      </c>
      <c r="P21" s="6" t="e">
        <f>#REF!</f>
        <v>#REF!</v>
      </c>
      <c r="Q21" s="6" t="e">
        <f>#REF!</f>
        <v>#REF!</v>
      </c>
      <c r="R21" s="6" t="e">
        <f>#REF!</f>
        <v>#REF!</v>
      </c>
      <c r="S21" s="5">
        <f>№1!R26</f>
        <v>0.14484</v>
      </c>
      <c r="T21" s="5">
        <f>'NiPA-62-F_UG_1__2026-03-24_11-4'!R26</f>
        <v>0.61144200000000004</v>
      </c>
      <c r="U21" s="5" t="e">
        <f>#REF!</f>
        <v>#REF!</v>
      </c>
      <c r="V21" s="5" t="e">
        <f>#REF!</f>
        <v>#REF!</v>
      </c>
      <c r="W21" s="5" t="e">
        <f>#REF!</f>
        <v>#REF!</v>
      </c>
      <c r="X21" s="5" t="e">
        <f>#REF!</f>
        <v>#REF!</v>
      </c>
      <c r="Y21" s="5" t="e">
        <f>#REF!</f>
        <v>#REF!</v>
      </c>
      <c r="Z21" s="5" t="e">
        <f>#REF!</f>
        <v>#REF!</v>
      </c>
      <c r="AA21" s="6">
        <f>№1!Q26</f>
        <v>-2.7500000000000002E-4</v>
      </c>
      <c r="AB21" s="6">
        <f>'NiPA-62-F_UG_1__2026-03-24_11-4'!Q26</f>
        <v>-2.6699999999999998E-4</v>
      </c>
      <c r="AC21" s="6" t="e">
        <f>#REF!</f>
        <v>#REF!</v>
      </c>
      <c r="AD21" s="6" t="e">
        <f>#REF!</f>
        <v>#REF!</v>
      </c>
      <c r="AE21" s="6" t="e">
        <f>#REF!</f>
        <v>#REF!</v>
      </c>
      <c r="AF21" s="6" t="e">
        <f>#REF!</f>
        <v>#REF!</v>
      </c>
      <c r="AG21" s="6" t="e">
        <f>#REF!</f>
        <v>#REF!</v>
      </c>
      <c r="AH21" s="6" t="e">
        <f>#REF!</f>
        <v>#REF!</v>
      </c>
      <c r="AI21" s="5">
        <f>№1!S26</f>
        <v>22.779745999999999</v>
      </c>
      <c r="AJ21" s="5">
        <f>'NiPA-62-F_UG_1__2026-03-24_11-4'!S26</f>
        <v>12.786982</v>
      </c>
      <c r="AK21" s="5" t="e">
        <f>#REF!</f>
        <v>#REF!</v>
      </c>
      <c r="AL21" s="5" t="e">
        <f>#REF!</f>
        <v>#REF!</v>
      </c>
      <c r="AM21" s="5" t="e">
        <f>#REF!</f>
        <v>#REF!</v>
      </c>
      <c r="AN21" s="5" t="e">
        <f>#REF!</f>
        <v>#REF!</v>
      </c>
      <c r="AO21" s="5" t="e">
        <f>#REF!</f>
        <v>#REF!</v>
      </c>
      <c r="AP21" s="5" t="e">
        <f>#REF!</f>
        <v>#REF!</v>
      </c>
      <c r="AQ21" s="6">
        <f>№1!T26</f>
        <v>293.51623657329276</v>
      </c>
      <c r="AR21" s="6">
        <f>'NiPA-62-F_UG_1__2026-03-24_11-4'!T26</f>
        <v>52.686629000000003</v>
      </c>
      <c r="AS21" s="6" t="e">
        <f>#REF!</f>
        <v>#REF!</v>
      </c>
      <c r="AT21" s="6" t="e">
        <f>#REF!</f>
        <v>#REF!</v>
      </c>
      <c r="AU21" s="6" t="e">
        <f>#REF!</f>
        <v>#REF!</v>
      </c>
      <c r="AV21" s="6" t="e">
        <f>#REF!</f>
        <v>#REF!</v>
      </c>
      <c r="AW21" s="6" t="e">
        <f>#REF!</f>
        <v>#REF!</v>
      </c>
      <c r="AX21" s="6" t="e">
        <f>#REF!</f>
        <v>#REF!</v>
      </c>
    </row>
    <row r="22" spans="1:50" x14ac:dyDescent="0.25">
      <c r="A22" s="4">
        <f>'NiPA-62-F_UG_1__2026-03-24_11-4'!B27</f>
        <v>2100000000</v>
      </c>
      <c r="B22" s="4">
        <f t="shared" si="5"/>
        <v>2.1</v>
      </c>
      <c r="C22" s="5">
        <f>№1!U27</f>
        <v>11.848312494299508</v>
      </c>
      <c r="D22" s="5">
        <f>'NiPA-62-F_UG_1__2026-03-24_11-4'!U27</f>
        <v>10.012318</v>
      </c>
      <c r="E22" s="5" t="e">
        <f>#REF!</f>
        <v>#REF!</v>
      </c>
      <c r="F22" s="5" t="e">
        <f>#REF!</f>
        <v>#REF!</v>
      </c>
      <c r="G22" s="5" t="e">
        <f>#REF!</f>
        <v>#REF!</v>
      </c>
      <c r="H22" s="5" t="e">
        <f>#REF!</f>
        <v>#REF!</v>
      </c>
      <c r="I22" s="5" t="e">
        <f>#REF!</f>
        <v>#REF!</v>
      </c>
      <c r="J22" s="5" t="e">
        <f>#REF!</f>
        <v>#REF!</v>
      </c>
      <c r="K22" s="6">
        <f>№1!P27</f>
        <v>40.736564999999999</v>
      </c>
      <c r="L22" s="6">
        <f>'NiPA-62-F_UG_1__2026-03-24_11-4'!P27</f>
        <v>40.005346000000003</v>
      </c>
      <c r="M22" s="6" t="e">
        <f>#REF!</f>
        <v>#REF!</v>
      </c>
      <c r="N22" s="6" t="e">
        <f>#REF!</f>
        <v>#REF!</v>
      </c>
      <c r="O22" s="6" t="e">
        <f>#REF!</f>
        <v>#REF!</v>
      </c>
      <c r="P22" s="6" t="e">
        <f>#REF!</f>
        <v>#REF!</v>
      </c>
      <c r="Q22" s="6" t="e">
        <f>#REF!</f>
        <v>#REF!</v>
      </c>
      <c r="R22" s="6" t="e">
        <f>#REF!</f>
        <v>#REF!</v>
      </c>
      <c r="S22" s="5">
        <f>№1!R27</f>
        <v>0.14109099999999999</v>
      </c>
      <c r="T22" s="5">
        <f>'NiPA-62-F_UG_1__2026-03-24_11-4'!R27</f>
        <v>0.61895</v>
      </c>
      <c r="U22" s="5" t="e">
        <f>#REF!</f>
        <v>#REF!</v>
      </c>
      <c r="V22" s="5" t="e">
        <f>#REF!</f>
        <v>#REF!</v>
      </c>
      <c r="W22" s="5" t="e">
        <f>#REF!</f>
        <v>#REF!</v>
      </c>
      <c r="X22" s="5" t="e">
        <f>#REF!</f>
        <v>#REF!</v>
      </c>
      <c r="Y22" s="5" t="e">
        <f>#REF!</f>
        <v>#REF!</v>
      </c>
      <c r="Z22" s="5" t="e">
        <f>#REF!</f>
        <v>#REF!</v>
      </c>
      <c r="AA22" s="6">
        <f>№1!Q27</f>
        <v>-2.9100000000000003E-4</v>
      </c>
      <c r="AB22" s="6">
        <f>'NiPA-62-F_UG_1__2026-03-24_11-4'!Q27</f>
        <v>-2.03E-4</v>
      </c>
      <c r="AC22" s="6" t="e">
        <f>#REF!</f>
        <v>#REF!</v>
      </c>
      <c r="AD22" s="6" t="e">
        <f>#REF!</f>
        <v>#REF!</v>
      </c>
      <c r="AE22" s="6" t="e">
        <f>#REF!</f>
        <v>#REF!</v>
      </c>
      <c r="AF22" s="6" t="e">
        <f>#REF!</f>
        <v>#REF!</v>
      </c>
      <c r="AG22" s="6" t="e">
        <f>#REF!</f>
        <v>#REF!</v>
      </c>
      <c r="AH22" s="6" t="e">
        <f>#REF!</f>
        <v>#REF!</v>
      </c>
      <c r="AI22" s="5">
        <f>№1!S27</f>
        <v>22.736564999999999</v>
      </c>
      <c r="AJ22" s="5">
        <f>'NiPA-62-F_UG_1__2026-03-24_11-4'!S27</f>
        <v>13.005345999999999</v>
      </c>
      <c r="AK22" s="5" t="e">
        <f>#REF!</f>
        <v>#REF!</v>
      </c>
      <c r="AL22" s="5" t="e">
        <f>#REF!</f>
        <v>#REF!</v>
      </c>
      <c r="AM22" s="5" t="e">
        <f>#REF!</f>
        <v>#REF!</v>
      </c>
      <c r="AN22" s="5" t="e">
        <f>#REF!</f>
        <v>#REF!</v>
      </c>
      <c r="AO22" s="5" t="e">
        <f>#REF!</f>
        <v>#REF!</v>
      </c>
      <c r="AP22" s="5" t="e">
        <f>#REF!</f>
        <v>#REF!</v>
      </c>
      <c r="AQ22" s="6">
        <f>№1!T27</f>
        <v>298.31853099497812</v>
      </c>
      <c r="AR22" s="6">
        <f>'NiPA-62-F_UG_1__2026-03-24_11-4'!T27</f>
        <v>54.880575999999998</v>
      </c>
      <c r="AS22" s="6" t="e">
        <f>#REF!</f>
        <v>#REF!</v>
      </c>
      <c r="AT22" s="6" t="e">
        <f>#REF!</f>
        <v>#REF!</v>
      </c>
      <c r="AU22" s="6" t="e">
        <f>#REF!</f>
        <v>#REF!</v>
      </c>
      <c r="AV22" s="6" t="e">
        <f>#REF!</f>
        <v>#REF!</v>
      </c>
      <c r="AW22" s="6" t="e">
        <f>#REF!</f>
        <v>#REF!</v>
      </c>
      <c r="AX22" s="6" t="e">
        <f>#REF!</f>
        <v>#REF!</v>
      </c>
    </row>
    <row r="23" spans="1:50" x14ac:dyDescent="0.25">
      <c r="A23" s="3">
        <f>'NiPA-62-F_UG_1__2026-03-24_11-4'!B28</f>
        <v>2200000000</v>
      </c>
      <c r="B23" s="4">
        <f t="shared" si="5"/>
        <v>2.2000000000000002</v>
      </c>
      <c r="C23" s="5">
        <f>№1!U28</f>
        <v>10.377682988903423</v>
      </c>
      <c r="D23" s="5">
        <f>'NiPA-62-F_UG_1__2026-03-24_11-4'!U28</f>
        <v>9.5970809999999993</v>
      </c>
      <c r="E23" s="5" t="e">
        <f>#REF!</f>
        <v>#REF!</v>
      </c>
      <c r="F23" s="5" t="e">
        <f>#REF!</f>
        <v>#REF!</v>
      </c>
      <c r="G23" s="5" t="e">
        <f>#REF!</f>
        <v>#REF!</v>
      </c>
      <c r="H23" s="5" t="e">
        <f>#REF!</f>
        <v>#REF!</v>
      </c>
      <c r="I23" s="5" t="e">
        <f>#REF!</f>
        <v>#REF!</v>
      </c>
      <c r="J23" s="5" t="e">
        <f>#REF!</f>
        <v>#REF!</v>
      </c>
      <c r="K23" s="6">
        <f>№1!P28</f>
        <v>40.161003999999998</v>
      </c>
      <c r="L23" s="6">
        <f>'NiPA-62-F_UG_1__2026-03-24_11-4'!P28</f>
        <v>39.821392000000003</v>
      </c>
      <c r="M23" s="6" t="e">
        <f>#REF!</f>
        <v>#REF!</v>
      </c>
      <c r="N23" s="6" t="e">
        <f>#REF!</f>
        <v>#REF!</v>
      </c>
      <c r="O23" s="6" t="e">
        <f>#REF!</f>
        <v>#REF!</v>
      </c>
      <c r="P23" s="6" t="e">
        <f>#REF!</f>
        <v>#REF!</v>
      </c>
      <c r="Q23" s="6" t="e">
        <f>#REF!</f>
        <v>#REF!</v>
      </c>
      <c r="R23" s="6" t="e">
        <f>#REF!</f>
        <v>#REF!</v>
      </c>
      <c r="S23" s="5">
        <f>№1!R28</f>
        <v>0.13647599999999999</v>
      </c>
      <c r="T23" s="5">
        <f>'NiPA-62-F_UG_1__2026-03-24_11-4'!R28</f>
        <v>0.60870899999999994</v>
      </c>
      <c r="U23" s="5" t="e">
        <f>#REF!</f>
        <v>#REF!</v>
      </c>
      <c r="V23" s="5" t="e">
        <f>#REF!</f>
        <v>#REF!</v>
      </c>
      <c r="W23" s="5" t="e">
        <f>#REF!</f>
        <v>#REF!</v>
      </c>
      <c r="X23" s="5" t="e">
        <f>#REF!</f>
        <v>#REF!</v>
      </c>
      <c r="Y23" s="5" t="e">
        <f>#REF!</f>
        <v>#REF!</v>
      </c>
      <c r="Z23" s="5" t="e">
        <f>#REF!</f>
        <v>#REF!</v>
      </c>
      <c r="AA23" s="6">
        <f>№1!Q28</f>
        <v>2.5000000000000001E-5</v>
      </c>
      <c r="AB23" s="6">
        <f>'NiPA-62-F_UG_1__2026-03-24_11-4'!Q28</f>
        <v>-3.1599999999999998E-4</v>
      </c>
      <c r="AC23" s="6" t="e">
        <f>#REF!</f>
        <v>#REF!</v>
      </c>
      <c r="AD23" s="6" t="e">
        <f>#REF!</f>
        <v>#REF!</v>
      </c>
      <c r="AE23" s="6" t="e">
        <f>#REF!</f>
        <v>#REF!</v>
      </c>
      <c r="AF23" s="6" t="e">
        <f>#REF!</f>
        <v>#REF!</v>
      </c>
      <c r="AG23" s="6" t="e">
        <f>#REF!</f>
        <v>#REF!</v>
      </c>
      <c r="AH23" s="6" t="e">
        <f>#REF!</f>
        <v>#REF!</v>
      </c>
      <c r="AI23" s="5">
        <f>№1!S28</f>
        <v>22.161003999999998</v>
      </c>
      <c r="AJ23" s="5">
        <f>'NiPA-62-F_UG_1__2026-03-24_11-4'!S28</f>
        <v>12.821391999999999</v>
      </c>
      <c r="AK23" s="5" t="e">
        <f>#REF!</f>
        <v>#REF!</v>
      </c>
      <c r="AL23" s="5" t="e">
        <f>#REF!</f>
        <v>#REF!</v>
      </c>
      <c r="AM23" s="5" t="e">
        <f>#REF!</f>
        <v>#REF!</v>
      </c>
      <c r="AN23" s="5" t="e">
        <f>#REF!</f>
        <v>#REF!</v>
      </c>
      <c r="AO23" s="5" t="e">
        <f>#REF!</f>
        <v>#REF!</v>
      </c>
      <c r="AP23" s="5" t="e">
        <f>#REF!</f>
        <v>#REF!</v>
      </c>
      <c r="AQ23" s="6">
        <f>№1!T28</f>
        <v>269.92153655628107</v>
      </c>
      <c r="AR23" s="6">
        <f>'NiPA-62-F_UG_1__2026-03-24_11-4'!T28</f>
        <v>53.367601999999998</v>
      </c>
      <c r="AS23" s="6" t="e">
        <f>#REF!</f>
        <v>#REF!</v>
      </c>
      <c r="AT23" s="6" t="e">
        <f>#REF!</f>
        <v>#REF!</v>
      </c>
      <c r="AU23" s="6" t="e">
        <f>#REF!</f>
        <v>#REF!</v>
      </c>
      <c r="AV23" s="6" t="e">
        <f>#REF!</f>
        <v>#REF!</v>
      </c>
      <c r="AW23" s="6" t="e">
        <f>#REF!</f>
        <v>#REF!</v>
      </c>
      <c r="AX23" s="6" t="e">
        <f>#REF!</f>
        <v>#REF!</v>
      </c>
    </row>
    <row r="24" spans="1:50" x14ac:dyDescent="0.25">
      <c r="A24" s="4">
        <f>'NiPA-62-F_UG_1__2026-03-24_11-4'!B29</f>
        <v>2300000000</v>
      </c>
      <c r="B24" s="4">
        <f t="shared" si="5"/>
        <v>2.2999999999999998</v>
      </c>
      <c r="C24" s="5">
        <f>№1!U29</f>
        <v>9.644566235082797</v>
      </c>
      <c r="D24" s="5">
        <f>'NiPA-62-F_UG_1__2026-03-24_11-4'!U29</f>
        <v>10.055064</v>
      </c>
      <c r="E24" s="5" t="e">
        <f>#REF!</f>
        <v>#REF!</v>
      </c>
      <c r="F24" s="5" t="e">
        <f>#REF!</f>
        <v>#REF!</v>
      </c>
      <c r="G24" s="5" t="e">
        <f>#REF!</f>
        <v>#REF!</v>
      </c>
      <c r="H24" s="5" t="e">
        <f>#REF!</f>
        <v>#REF!</v>
      </c>
      <c r="I24" s="5" t="e">
        <f>#REF!</f>
        <v>#REF!</v>
      </c>
      <c r="J24" s="5" t="e">
        <f>#REF!</f>
        <v>#REF!</v>
      </c>
      <c r="K24" s="6">
        <f>№1!P29</f>
        <v>39.842827</v>
      </c>
      <c r="L24" s="6">
        <f>'NiPA-62-F_UG_1__2026-03-24_11-4'!P29</f>
        <v>40.023848000000001</v>
      </c>
      <c r="M24" s="6" t="e">
        <f>#REF!</f>
        <v>#REF!</v>
      </c>
      <c r="N24" s="6" t="e">
        <f>#REF!</f>
        <v>#REF!</v>
      </c>
      <c r="O24" s="6" t="e">
        <f>#REF!</f>
        <v>#REF!</v>
      </c>
      <c r="P24" s="6" t="e">
        <f>#REF!</f>
        <v>#REF!</v>
      </c>
      <c r="Q24" s="6" t="e">
        <f>#REF!</f>
        <v>#REF!</v>
      </c>
      <c r="R24" s="6" t="e">
        <f>#REF!</f>
        <v>#REF!</v>
      </c>
      <c r="S24" s="5">
        <f>№1!R29</f>
        <v>0.13309299999999999</v>
      </c>
      <c r="T24" s="5">
        <f>'NiPA-62-F_UG_1__2026-03-24_11-4'!R29</f>
        <v>0.65160799999999997</v>
      </c>
      <c r="U24" s="5" t="e">
        <f>#REF!</f>
        <v>#REF!</v>
      </c>
      <c r="V24" s="5" t="e">
        <f>#REF!</f>
        <v>#REF!</v>
      </c>
      <c r="W24" s="5" t="e">
        <f>#REF!</f>
        <v>#REF!</v>
      </c>
      <c r="X24" s="5" t="e">
        <f>#REF!</f>
        <v>#REF!</v>
      </c>
      <c r="Y24" s="5" t="e">
        <f>#REF!</f>
        <v>#REF!</v>
      </c>
      <c r="Z24" s="5" t="e">
        <f>#REF!</f>
        <v>#REF!</v>
      </c>
      <c r="AA24" s="6">
        <f>№1!Q29</f>
        <v>-7.6000000000000004E-5</v>
      </c>
      <c r="AB24" s="6">
        <f>'NiPA-62-F_UG_1__2026-03-24_11-4'!Q29</f>
        <v>-3.0899999999999998E-4</v>
      </c>
      <c r="AC24" s="6" t="e">
        <f>#REF!</f>
        <v>#REF!</v>
      </c>
      <c r="AD24" s="6" t="e">
        <f>#REF!</f>
        <v>#REF!</v>
      </c>
      <c r="AE24" s="6" t="e">
        <f>#REF!</f>
        <v>#REF!</v>
      </c>
      <c r="AF24" s="6" t="e">
        <f>#REF!</f>
        <v>#REF!</v>
      </c>
      <c r="AG24" s="6" t="e">
        <f>#REF!</f>
        <v>#REF!</v>
      </c>
      <c r="AH24" s="6" t="e">
        <f>#REF!</f>
        <v>#REF!</v>
      </c>
      <c r="AI24" s="5">
        <f>№1!S29</f>
        <v>21.842827</v>
      </c>
      <c r="AJ24" s="5">
        <f>'NiPA-62-F_UG_1__2026-03-24_11-4'!S29</f>
        <v>13.023847999999999</v>
      </c>
      <c r="AK24" s="5" t="e">
        <f>#REF!</f>
        <v>#REF!</v>
      </c>
      <c r="AL24" s="5" t="e">
        <f>#REF!</f>
        <v>#REF!</v>
      </c>
      <c r="AM24" s="5" t="e">
        <f>#REF!</f>
        <v>#REF!</v>
      </c>
      <c r="AN24" s="5" t="e">
        <f>#REF!</f>
        <v>#REF!</v>
      </c>
      <c r="AO24" s="5" t="e">
        <f>#REF!</f>
        <v>#REF!</v>
      </c>
      <c r="AP24" s="5" t="e">
        <f>#REF!</f>
        <v>#REF!</v>
      </c>
      <c r="AQ24" s="6">
        <f>№1!T29</f>
        <v>257.10997199151768</v>
      </c>
      <c r="AR24" s="6">
        <f>'NiPA-62-F_UG_1__2026-03-24_11-4'!T29</f>
        <v>52.364263999999999</v>
      </c>
      <c r="AS24" s="6" t="e">
        <f>#REF!</f>
        <v>#REF!</v>
      </c>
      <c r="AT24" s="6" t="e">
        <f>#REF!</f>
        <v>#REF!</v>
      </c>
      <c r="AU24" s="6" t="e">
        <f>#REF!</f>
        <v>#REF!</v>
      </c>
      <c r="AV24" s="6" t="e">
        <f>#REF!</f>
        <v>#REF!</v>
      </c>
      <c r="AW24" s="6" t="e">
        <f>#REF!</f>
        <v>#REF!</v>
      </c>
      <c r="AX24" s="6" t="e">
        <f>#REF!</f>
        <v>#REF!</v>
      </c>
    </row>
    <row r="25" spans="1:50" x14ac:dyDescent="0.25">
      <c r="A25" s="3">
        <f>'NiPA-62-F_UG_1__2026-03-24_11-4'!B30</f>
        <v>2400000000</v>
      </c>
      <c r="B25" s="4">
        <f t="shared" si="5"/>
        <v>2.4</v>
      </c>
      <c r="C25" s="5">
        <f>№1!U30</f>
        <v>8.5392671377601506</v>
      </c>
      <c r="D25" s="5">
        <f>'NiPA-62-F_UG_1__2026-03-24_11-4'!U30</f>
        <v>9.7462029999999995</v>
      </c>
      <c r="E25" s="5" t="e">
        <f>#REF!</f>
        <v>#REF!</v>
      </c>
      <c r="F25" s="5" t="e">
        <f>#REF!</f>
        <v>#REF!</v>
      </c>
      <c r="G25" s="5" t="e">
        <f>#REF!</f>
        <v>#REF!</v>
      </c>
      <c r="H25" s="5" t="e">
        <f>#REF!</f>
        <v>#REF!</v>
      </c>
      <c r="I25" s="5" t="e">
        <f>#REF!</f>
        <v>#REF!</v>
      </c>
      <c r="J25" s="5" t="e">
        <f>#REF!</f>
        <v>#REF!</v>
      </c>
      <c r="K25" s="6">
        <f>№1!P30</f>
        <v>39.314205999999999</v>
      </c>
      <c r="L25" s="6">
        <f>'NiPA-62-F_UG_1__2026-03-24_11-4'!P30</f>
        <v>39.888354999999997</v>
      </c>
      <c r="M25" s="6" t="e">
        <f>#REF!</f>
        <v>#REF!</v>
      </c>
      <c r="N25" s="6" t="e">
        <f>#REF!</f>
        <v>#REF!</v>
      </c>
      <c r="O25" s="6" t="e">
        <f>#REF!</f>
        <v>#REF!</v>
      </c>
      <c r="P25" s="6" t="e">
        <f>#REF!</f>
        <v>#REF!</v>
      </c>
      <c r="Q25" s="6" t="e">
        <f>#REF!</f>
        <v>#REF!</v>
      </c>
      <c r="R25" s="6" t="e">
        <f>#REF!</f>
        <v>#REF!</v>
      </c>
      <c r="S25" s="5">
        <f>№1!R30</f>
        <v>0.13000800000000001</v>
      </c>
      <c r="T25" s="5">
        <f>'NiPA-62-F_UG_1__2026-03-24_11-4'!R30</f>
        <v>0.65821099999999999</v>
      </c>
      <c r="U25" s="5" t="e">
        <f>#REF!</f>
        <v>#REF!</v>
      </c>
      <c r="V25" s="5" t="e">
        <f>#REF!</f>
        <v>#REF!</v>
      </c>
      <c r="W25" s="5" t="e">
        <f>#REF!</f>
        <v>#REF!</v>
      </c>
      <c r="X25" s="5" t="e">
        <f>#REF!</f>
        <v>#REF!</v>
      </c>
      <c r="Y25" s="5" t="e">
        <f>#REF!</f>
        <v>#REF!</v>
      </c>
      <c r="Z25" s="5" t="e">
        <f>#REF!</f>
        <v>#REF!</v>
      </c>
      <c r="AA25" s="6">
        <f>№1!Q30</f>
        <v>2.8499999999999999E-4</v>
      </c>
      <c r="AB25" s="6">
        <f>'NiPA-62-F_UG_1__2026-03-24_11-4'!Q30</f>
        <v>-2.1800000000000001E-4</v>
      </c>
      <c r="AC25" s="6" t="e">
        <f>#REF!</f>
        <v>#REF!</v>
      </c>
      <c r="AD25" s="6" t="e">
        <f>#REF!</f>
        <v>#REF!</v>
      </c>
      <c r="AE25" s="6" t="e">
        <f>#REF!</f>
        <v>#REF!</v>
      </c>
      <c r="AF25" s="6" t="e">
        <f>#REF!</f>
        <v>#REF!</v>
      </c>
      <c r="AG25" s="6" t="e">
        <f>#REF!</f>
        <v>#REF!</v>
      </c>
      <c r="AH25" s="6" t="e">
        <f>#REF!</f>
        <v>#REF!</v>
      </c>
      <c r="AI25" s="5">
        <f>№1!S30</f>
        <v>21.314205999999999</v>
      </c>
      <c r="AJ25" s="5">
        <f>'NiPA-62-F_UG_1__2026-03-24_11-4'!S30</f>
        <v>12.888355000000001</v>
      </c>
      <c r="AK25" s="5" t="e">
        <f>#REF!</f>
        <v>#REF!</v>
      </c>
      <c r="AL25" s="5" t="e">
        <f>#REF!</f>
        <v>#REF!</v>
      </c>
      <c r="AM25" s="5" t="e">
        <f>#REF!</f>
        <v>#REF!</v>
      </c>
      <c r="AN25" s="5" t="e">
        <f>#REF!</f>
        <v>#REF!</v>
      </c>
      <c r="AO25" s="5" t="e">
        <f>#REF!</f>
        <v>#REF!</v>
      </c>
      <c r="AP25" s="5" t="e">
        <f>#REF!</f>
        <v>#REF!</v>
      </c>
      <c r="AQ25" s="6">
        <f>№1!T30</f>
        <v>232.84752266102663</v>
      </c>
      <c r="AR25" s="6">
        <f>'NiPA-62-F_UG_1__2026-03-24_11-4'!T30</f>
        <v>50.163096000000003</v>
      </c>
      <c r="AS25" s="6" t="e">
        <f>#REF!</f>
        <v>#REF!</v>
      </c>
      <c r="AT25" s="6" t="e">
        <f>#REF!</f>
        <v>#REF!</v>
      </c>
      <c r="AU25" s="6" t="e">
        <f>#REF!</f>
        <v>#REF!</v>
      </c>
      <c r="AV25" s="6" t="e">
        <f>#REF!</f>
        <v>#REF!</v>
      </c>
      <c r="AW25" s="6" t="e">
        <f>#REF!</f>
        <v>#REF!</v>
      </c>
      <c r="AX25" s="6" t="e">
        <f>#REF!</f>
        <v>#REF!</v>
      </c>
    </row>
    <row r="26" spans="1:50" x14ac:dyDescent="0.25">
      <c r="A26" s="4">
        <f>'NiPA-62-F_UG_1__2026-03-24_11-4'!B31</f>
        <v>2500000000</v>
      </c>
      <c r="B26" s="4">
        <f t="shared" si="5"/>
        <v>2.5</v>
      </c>
      <c r="C26" s="5">
        <f>№1!U31</f>
        <v>8.7335558127660473</v>
      </c>
      <c r="D26" s="5">
        <f>'NiPA-62-F_UG_1__2026-03-24_11-4'!U31</f>
        <v>9.3568149999999992</v>
      </c>
      <c r="E26" s="5" t="e">
        <f>#REF!</f>
        <v>#REF!</v>
      </c>
      <c r="F26" s="5" t="e">
        <f>#REF!</f>
        <v>#REF!</v>
      </c>
      <c r="G26" s="5" t="e">
        <f>#REF!</f>
        <v>#REF!</v>
      </c>
      <c r="H26" s="5" t="e">
        <f>#REF!</f>
        <v>#REF!</v>
      </c>
      <c r="I26" s="5" t="e">
        <f>#REF!</f>
        <v>#REF!</v>
      </c>
      <c r="J26" s="5" t="e">
        <f>#REF!</f>
        <v>#REF!</v>
      </c>
      <c r="K26" s="6">
        <f>№1!P31</f>
        <v>39.411911000000003</v>
      </c>
      <c r="L26" s="6">
        <f>'NiPA-62-F_UG_1__2026-03-24_11-4'!P31</f>
        <v>39.711281</v>
      </c>
      <c r="M26" s="6" t="e">
        <f>#REF!</f>
        <v>#REF!</v>
      </c>
      <c r="N26" s="6" t="e">
        <f>#REF!</f>
        <v>#REF!</v>
      </c>
      <c r="O26" s="6" t="e">
        <f>#REF!</f>
        <v>#REF!</v>
      </c>
      <c r="P26" s="6" t="e">
        <f>#REF!</f>
        <v>#REF!</v>
      </c>
      <c r="Q26" s="6" t="e">
        <f>#REF!</f>
        <v>#REF!</v>
      </c>
      <c r="R26" s="6" t="e">
        <f>#REF!</f>
        <v>#REF!</v>
      </c>
      <c r="S26" s="5">
        <f>№1!R31</f>
        <v>0.13078000000000001</v>
      </c>
      <c r="T26" s="5">
        <f>'NiPA-62-F_UG_1__2026-03-24_11-4'!R31</f>
        <v>0.65773800000000004</v>
      </c>
      <c r="U26" s="5" t="e">
        <f>#REF!</f>
        <v>#REF!</v>
      </c>
      <c r="V26" s="5" t="e">
        <f>#REF!</f>
        <v>#REF!</v>
      </c>
      <c r="W26" s="5" t="e">
        <f>#REF!</f>
        <v>#REF!</v>
      </c>
      <c r="X26" s="5" t="e">
        <f>#REF!</f>
        <v>#REF!</v>
      </c>
      <c r="Y26" s="5" t="e">
        <f>#REF!</f>
        <v>#REF!</v>
      </c>
      <c r="Z26" s="5" t="e">
        <f>#REF!</f>
        <v>#REF!</v>
      </c>
      <c r="AA26" s="6">
        <f>№1!Q31</f>
        <v>-1.95E-4</v>
      </c>
      <c r="AB26" s="6">
        <f>'NiPA-62-F_UG_1__2026-03-24_11-4'!Q31</f>
        <v>-3.2499999999999999E-4</v>
      </c>
      <c r="AC26" s="6" t="e">
        <f>#REF!</f>
        <v>#REF!</v>
      </c>
      <c r="AD26" s="6" t="e">
        <f>#REF!</f>
        <v>#REF!</v>
      </c>
      <c r="AE26" s="6" t="e">
        <f>#REF!</f>
        <v>#REF!</v>
      </c>
      <c r="AF26" s="6" t="e">
        <f>#REF!</f>
        <v>#REF!</v>
      </c>
      <c r="AG26" s="6" t="e">
        <f>#REF!</f>
        <v>#REF!</v>
      </c>
      <c r="AH26" s="6" t="e">
        <f>#REF!</f>
        <v>#REF!</v>
      </c>
      <c r="AI26" s="5">
        <f>№1!S31</f>
        <v>21.411911</v>
      </c>
      <c r="AJ26" s="5">
        <f>'NiPA-62-F_UG_1__2026-03-24_11-4'!S31</f>
        <v>12.711281</v>
      </c>
      <c r="AK26" s="5" t="e">
        <f>#REF!</f>
        <v>#REF!</v>
      </c>
      <c r="AL26" s="5" t="e">
        <f>#REF!</f>
        <v>#REF!</v>
      </c>
      <c r="AM26" s="5" t="e">
        <f>#REF!</f>
        <v>#REF!</v>
      </c>
      <c r="AN26" s="5" t="e">
        <f>#REF!</f>
        <v>#REF!</v>
      </c>
      <c r="AO26" s="5" t="e">
        <f>#REF!</f>
        <v>#REF!</v>
      </c>
      <c r="AP26" s="5" t="e">
        <f>#REF!</f>
        <v>#REF!</v>
      </c>
      <c r="AQ26" s="6">
        <f>№1!T31</f>
        <v>236.77878002091921</v>
      </c>
      <c r="AR26" s="6">
        <f>'NiPA-62-F_UG_1__2026-03-24_11-4'!T31</f>
        <v>48.084854999999997</v>
      </c>
      <c r="AS26" s="6" t="e">
        <f>#REF!</f>
        <v>#REF!</v>
      </c>
      <c r="AT26" s="6" t="e">
        <f>#REF!</f>
        <v>#REF!</v>
      </c>
      <c r="AU26" s="6" t="e">
        <f>#REF!</f>
        <v>#REF!</v>
      </c>
      <c r="AV26" s="6" t="e">
        <f>#REF!</f>
        <v>#REF!</v>
      </c>
      <c r="AW26" s="6" t="e">
        <f>#REF!</f>
        <v>#REF!</v>
      </c>
      <c r="AX26" s="6" t="e">
        <f>#REF!</f>
        <v>#REF!</v>
      </c>
    </row>
    <row r="27" spans="1:50" x14ac:dyDescent="0.25">
      <c r="A27" s="3">
        <f>'NiPA-62-F_UG_1__2026-03-24_11-4'!B32</f>
        <v>2600000000</v>
      </c>
      <c r="B27" s="4">
        <f t="shared" si="5"/>
        <v>2.6</v>
      </c>
      <c r="C27" s="5">
        <f>№1!U32</f>
        <v>9.4421848852754415</v>
      </c>
      <c r="D27" s="5">
        <f>'NiPA-62-F_UG_1__2026-03-24_11-4'!U32</f>
        <v>9.283868</v>
      </c>
      <c r="E27" s="5" t="e">
        <f>#REF!</f>
        <v>#REF!</v>
      </c>
      <c r="F27" s="5" t="e">
        <f>#REF!</f>
        <v>#REF!</v>
      </c>
      <c r="G27" s="5" t="e">
        <f>#REF!</f>
        <v>#REF!</v>
      </c>
      <c r="H27" s="5" t="e">
        <f>#REF!</f>
        <v>#REF!</v>
      </c>
      <c r="I27" s="5" t="e">
        <f>#REF!</f>
        <v>#REF!</v>
      </c>
      <c r="J27" s="5" t="e">
        <f>#REF!</f>
        <v>#REF!</v>
      </c>
      <c r="K27" s="6">
        <f>№1!P32</f>
        <v>39.750725000000003</v>
      </c>
      <c r="L27" s="6">
        <f>'NiPA-62-F_UG_1__2026-03-24_11-4'!P32</f>
        <v>39.677289999999999</v>
      </c>
      <c r="M27" s="6" t="e">
        <f>#REF!</f>
        <v>#REF!</v>
      </c>
      <c r="N27" s="6" t="e">
        <f>#REF!</f>
        <v>#REF!</v>
      </c>
      <c r="O27" s="6" t="e">
        <f>#REF!</f>
        <v>#REF!</v>
      </c>
      <c r="P27" s="6" t="e">
        <f>#REF!</f>
        <v>#REF!</v>
      </c>
      <c r="Q27" s="6" t="e">
        <f>#REF!</f>
        <v>#REF!</v>
      </c>
      <c r="R27" s="6" t="e">
        <f>#REF!</f>
        <v>#REF!</v>
      </c>
      <c r="S27" s="5">
        <f>№1!R32</f>
        <v>0.132299</v>
      </c>
      <c r="T27" s="5">
        <f>'NiPA-62-F_UG_1__2026-03-24_11-4'!R32</f>
        <v>0.65861999999999998</v>
      </c>
      <c r="U27" s="5" t="e">
        <f>#REF!</f>
        <v>#REF!</v>
      </c>
      <c r="V27" s="5" t="e">
        <f>#REF!</f>
        <v>#REF!</v>
      </c>
      <c r="W27" s="5" t="e">
        <f>#REF!</f>
        <v>#REF!</v>
      </c>
      <c r="X27" s="5" t="e">
        <f>#REF!</f>
        <v>#REF!</v>
      </c>
      <c r="Y27" s="5" t="e">
        <f>#REF!</f>
        <v>#REF!</v>
      </c>
      <c r="Z27" s="5" t="e">
        <f>#REF!</f>
        <v>#REF!</v>
      </c>
      <c r="AA27" s="6">
        <f>№1!Q32</f>
        <v>-3.5500000000000001E-4</v>
      </c>
      <c r="AB27" s="6">
        <f>'NiPA-62-F_UG_1__2026-03-24_11-4'!Q32</f>
        <v>2.4000000000000001E-5</v>
      </c>
      <c r="AC27" s="6" t="e">
        <f>#REF!</f>
        <v>#REF!</v>
      </c>
      <c r="AD27" s="6" t="e">
        <f>#REF!</f>
        <v>#REF!</v>
      </c>
      <c r="AE27" s="6" t="e">
        <f>#REF!</f>
        <v>#REF!</v>
      </c>
      <c r="AF27" s="6" t="e">
        <f>#REF!</f>
        <v>#REF!</v>
      </c>
      <c r="AG27" s="6" t="e">
        <f>#REF!</f>
        <v>#REF!</v>
      </c>
      <c r="AH27" s="6" t="e">
        <f>#REF!</f>
        <v>#REF!</v>
      </c>
      <c r="AI27" s="5">
        <f>№1!S32</f>
        <v>21.750724999999999</v>
      </c>
      <c r="AJ27" s="5">
        <f>'NiPA-62-F_UG_1__2026-03-24_11-4'!S32</f>
        <v>12.677289999999999</v>
      </c>
      <c r="AK27" s="5" t="e">
        <f>#REF!</f>
        <v>#REF!</v>
      </c>
      <c r="AL27" s="5" t="e">
        <f>#REF!</f>
        <v>#REF!</v>
      </c>
      <c r="AM27" s="5" t="e">
        <f>#REF!</f>
        <v>#REF!</v>
      </c>
      <c r="AN27" s="5" t="e">
        <f>#REF!</f>
        <v>#REF!</v>
      </c>
      <c r="AO27" s="5" t="e">
        <f>#REF!</f>
        <v>#REF!</v>
      </c>
      <c r="AP27" s="5" t="e">
        <f>#REF!</f>
        <v>#REF!</v>
      </c>
      <c r="AQ27" s="6">
        <f>№1!T32</f>
        <v>253.1897215189895</v>
      </c>
      <c r="AR27" s="6">
        <f>'NiPA-62-F_UG_1__2026-03-24_11-4'!T32</f>
        <v>47.624927</v>
      </c>
      <c r="AS27" s="6" t="e">
        <f>#REF!</f>
        <v>#REF!</v>
      </c>
      <c r="AT27" s="6" t="e">
        <f>#REF!</f>
        <v>#REF!</v>
      </c>
      <c r="AU27" s="6" t="e">
        <f>#REF!</f>
        <v>#REF!</v>
      </c>
      <c r="AV27" s="6" t="e">
        <f>#REF!</f>
        <v>#REF!</v>
      </c>
      <c r="AW27" s="6" t="e">
        <f>#REF!</f>
        <v>#REF!</v>
      </c>
      <c r="AX27" s="6" t="e">
        <f>#REF!</f>
        <v>#REF!</v>
      </c>
    </row>
    <row r="28" spans="1:50" x14ac:dyDescent="0.25">
      <c r="A28" s="4">
        <f>'NiPA-62-F_UG_1__2026-03-24_11-4'!B33</f>
        <v>2700000000</v>
      </c>
      <c r="B28" s="4">
        <f t="shared" si="5"/>
        <v>2.7</v>
      </c>
      <c r="C28" s="5">
        <f>№1!U33</f>
        <v>9.2776738256751816</v>
      </c>
      <c r="D28" s="5">
        <f>'NiPA-62-F_UG_1__2026-03-24_11-4'!U33</f>
        <v>9.2909089999999992</v>
      </c>
      <c r="E28" s="5" t="e">
        <f>#REF!</f>
        <v>#REF!</v>
      </c>
      <c r="F28" s="5" t="e">
        <f>#REF!</f>
        <v>#REF!</v>
      </c>
      <c r="G28" s="5" t="e">
        <f>#REF!</f>
        <v>#REF!</v>
      </c>
      <c r="H28" s="5" t="e">
        <f>#REF!</f>
        <v>#REF!</v>
      </c>
      <c r="I28" s="5" t="e">
        <f>#REF!</f>
        <v>#REF!</v>
      </c>
      <c r="J28" s="5" t="e">
        <f>#REF!</f>
        <v>#REF!</v>
      </c>
      <c r="K28" s="6">
        <f>№1!P33</f>
        <v>39.674391</v>
      </c>
      <c r="L28" s="6">
        <f>'NiPA-62-F_UG_1__2026-03-24_11-4'!P33</f>
        <v>39.680582000000001</v>
      </c>
      <c r="M28" s="6" t="e">
        <f>#REF!</f>
        <v>#REF!</v>
      </c>
      <c r="N28" s="6" t="e">
        <f>#REF!</f>
        <v>#REF!</v>
      </c>
      <c r="O28" s="6" t="e">
        <f>#REF!</f>
        <v>#REF!</v>
      </c>
      <c r="P28" s="6" t="e">
        <f>#REF!</f>
        <v>#REF!</v>
      </c>
      <c r="Q28" s="6" t="e">
        <f>#REF!</f>
        <v>#REF!</v>
      </c>
      <c r="R28" s="6" t="e">
        <f>#REF!</f>
        <v>#REF!</v>
      </c>
      <c r="S28" s="5">
        <f>№1!R33</f>
        <v>0.13172800000000001</v>
      </c>
      <c r="T28" s="5">
        <f>'NiPA-62-F_UG_1__2026-03-24_11-4'!R33</f>
        <v>0.68378300000000003</v>
      </c>
      <c r="U28" s="5" t="e">
        <f>#REF!</f>
        <v>#REF!</v>
      </c>
      <c r="V28" s="5" t="e">
        <f>#REF!</f>
        <v>#REF!</v>
      </c>
      <c r="W28" s="5" t="e">
        <f>#REF!</f>
        <v>#REF!</v>
      </c>
      <c r="X28" s="5" t="e">
        <f>#REF!</f>
        <v>#REF!</v>
      </c>
      <c r="Y28" s="5" t="e">
        <f>#REF!</f>
        <v>#REF!</v>
      </c>
      <c r="Z28" s="5" t="e">
        <f>#REF!</f>
        <v>#REF!</v>
      </c>
      <c r="AA28" s="6">
        <f>№1!Q33</f>
        <v>6.9999999999999994E-5</v>
      </c>
      <c r="AB28" s="6">
        <f>'NiPA-62-F_UG_1__2026-03-24_11-4'!Q33</f>
        <v>-8.7999999999999998E-5</v>
      </c>
      <c r="AC28" s="6" t="e">
        <f>#REF!</f>
        <v>#REF!</v>
      </c>
      <c r="AD28" s="6" t="e">
        <f>#REF!</f>
        <v>#REF!</v>
      </c>
      <c r="AE28" s="6" t="e">
        <f>#REF!</f>
        <v>#REF!</v>
      </c>
      <c r="AF28" s="6" t="e">
        <f>#REF!</f>
        <v>#REF!</v>
      </c>
      <c r="AG28" s="6" t="e">
        <f>#REF!</f>
        <v>#REF!</v>
      </c>
      <c r="AH28" s="6" t="e">
        <f>#REF!</f>
        <v>#REF!</v>
      </c>
      <c r="AI28" s="5">
        <f>№1!S33</f>
        <v>21.674391</v>
      </c>
      <c r="AJ28" s="5">
        <f>'NiPA-62-F_UG_1__2026-03-24_11-4'!S33</f>
        <v>12.680581999999999</v>
      </c>
      <c r="AK28" s="5" t="e">
        <f>#REF!</f>
        <v>#REF!</v>
      </c>
      <c r="AL28" s="5" t="e">
        <f>#REF!</f>
        <v>#REF!</v>
      </c>
      <c r="AM28" s="5" t="e">
        <f>#REF!</f>
        <v>#REF!</v>
      </c>
      <c r="AN28" s="5" t="e">
        <f>#REF!</f>
        <v>#REF!</v>
      </c>
      <c r="AO28" s="5" t="e">
        <f>#REF!</f>
        <v>#REF!</v>
      </c>
      <c r="AP28" s="5" t="e">
        <f>#REF!</f>
        <v>#REF!</v>
      </c>
      <c r="AQ28" s="6">
        <f>№1!T33</f>
        <v>249.82697276712949</v>
      </c>
      <c r="AR28" s="6">
        <f>'NiPA-62-F_UG_1__2026-03-24_11-4'!T33</f>
        <v>45.909095000000001</v>
      </c>
      <c r="AS28" s="6" t="e">
        <f>#REF!</f>
        <v>#REF!</v>
      </c>
      <c r="AT28" s="6" t="e">
        <f>#REF!</f>
        <v>#REF!</v>
      </c>
      <c r="AU28" s="6" t="e">
        <f>#REF!</f>
        <v>#REF!</v>
      </c>
      <c r="AV28" s="6" t="e">
        <f>#REF!</f>
        <v>#REF!</v>
      </c>
      <c r="AW28" s="6" t="e">
        <f>#REF!</f>
        <v>#REF!</v>
      </c>
      <c r="AX28" s="6" t="e">
        <f>#REF!</f>
        <v>#REF!</v>
      </c>
    </row>
    <row r="29" spans="1:50" x14ac:dyDescent="0.25">
      <c r="A29" s="3">
        <f>'NiPA-62-F_UG_1__2026-03-24_11-4'!B34</f>
        <v>2800000000</v>
      </c>
      <c r="B29" s="4">
        <f t="shared" si="5"/>
        <v>2.8</v>
      </c>
      <c r="C29" s="5">
        <f>№1!U34</f>
        <v>9.1706052588541738</v>
      </c>
      <c r="D29" s="5">
        <f>'NiPA-62-F_UG_1__2026-03-24_11-4'!U34</f>
        <v>8.4554340000000003</v>
      </c>
      <c r="E29" s="5" t="e">
        <f>#REF!</f>
        <v>#REF!</v>
      </c>
      <c r="F29" s="5" t="e">
        <f>#REF!</f>
        <v>#REF!</v>
      </c>
      <c r="G29" s="5" t="e">
        <f>#REF!</f>
        <v>#REF!</v>
      </c>
      <c r="H29" s="5" t="e">
        <f>#REF!</f>
        <v>#REF!</v>
      </c>
      <c r="I29" s="5" t="e">
        <f>#REF!</f>
        <v>#REF!</v>
      </c>
      <c r="J29" s="5" t="e">
        <f>#REF!</f>
        <v>#REF!</v>
      </c>
      <c r="K29" s="6">
        <f>№1!P34</f>
        <v>39.623980000000003</v>
      </c>
      <c r="L29" s="6">
        <f>'NiPA-62-F_UG_1__2026-03-24_11-4'!P34</f>
        <v>39.271358999999997</v>
      </c>
      <c r="M29" s="6" t="e">
        <f>#REF!</f>
        <v>#REF!</v>
      </c>
      <c r="N29" s="6" t="e">
        <f>#REF!</f>
        <v>#REF!</v>
      </c>
      <c r="O29" s="6" t="e">
        <f>#REF!</f>
        <v>#REF!</v>
      </c>
      <c r="P29" s="6" t="e">
        <f>#REF!</f>
        <v>#REF!</v>
      </c>
      <c r="Q29" s="6" t="e">
        <f>#REF!</f>
        <v>#REF!</v>
      </c>
      <c r="R29" s="6" t="e">
        <f>#REF!</f>
        <v>#REF!</v>
      </c>
      <c r="S29" s="5">
        <f>№1!R34</f>
        <v>0.132997</v>
      </c>
      <c r="T29" s="5">
        <f>'NiPA-62-F_UG_1__2026-03-24_11-4'!R34</f>
        <v>0.70133999999999996</v>
      </c>
      <c r="U29" s="5" t="e">
        <f>#REF!</f>
        <v>#REF!</v>
      </c>
      <c r="V29" s="5" t="e">
        <f>#REF!</f>
        <v>#REF!</v>
      </c>
      <c r="W29" s="5" t="e">
        <f>#REF!</f>
        <v>#REF!</v>
      </c>
      <c r="X29" s="5" t="e">
        <f>#REF!</f>
        <v>#REF!</v>
      </c>
      <c r="Y29" s="5" t="e">
        <f>#REF!</f>
        <v>#REF!</v>
      </c>
      <c r="Z29" s="5" t="e">
        <f>#REF!</f>
        <v>#REF!</v>
      </c>
      <c r="AA29" s="6">
        <f>№1!Q34</f>
        <v>-6.7699999999999998E-4</v>
      </c>
      <c r="AB29" s="6">
        <f>'NiPA-62-F_UG_1__2026-03-24_11-4'!Q34</f>
        <v>-1.2400000000000001E-4</v>
      </c>
      <c r="AC29" s="6" t="e">
        <f>#REF!</f>
        <v>#REF!</v>
      </c>
      <c r="AD29" s="6" t="e">
        <f>#REF!</f>
        <v>#REF!</v>
      </c>
      <c r="AE29" s="6" t="e">
        <f>#REF!</f>
        <v>#REF!</v>
      </c>
      <c r="AF29" s="6" t="e">
        <f>#REF!</f>
        <v>#REF!</v>
      </c>
      <c r="AG29" s="6" t="e">
        <f>#REF!</f>
        <v>#REF!</v>
      </c>
      <c r="AH29" s="6" t="e">
        <f>#REF!</f>
        <v>#REF!</v>
      </c>
      <c r="AI29" s="5">
        <f>№1!S34</f>
        <v>21.62398</v>
      </c>
      <c r="AJ29" s="5">
        <f>'NiPA-62-F_UG_1__2026-03-24_11-4'!S34</f>
        <v>12.271359</v>
      </c>
      <c r="AK29" s="5" t="e">
        <f>#REF!</f>
        <v>#REF!</v>
      </c>
      <c r="AL29" s="5" t="e">
        <f>#REF!</f>
        <v>#REF!</v>
      </c>
      <c r="AM29" s="5" t="e">
        <f>#REF!</f>
        <v>#REF!</v>
      </c>
      <c r="AN29" s="5" t="e">
        <f>#REF!</f>
        <v>#REF!</v>
      </c>
      <c r="AO29" s="5" t="e">
        <f>#REF!</f>
        <v>#REF!</v>
      </c>
      <c r="AP29" s="5" t="e">
        <f>#REF!</f>
        <v>#REF!</v>
      </c>
      <c r="AQ29" s="6">
        <f>№1!T34</f>
        <v>244.56807093409608</v>
      </c>
      <c r="AR29" s="6">
        <f>'NiPA-62-F_UG_1__2026-03-24_11-4'!T34</f>
        <v>40.505330000000001</v>
      </c>
      <c r="AS29" s="6" t="e">
        <f>#REF!</f>
        <v>#REF!</v>
      </c>
      <c r="AT29" s="6" t="e">
        <f>#REF!</f>
        <v>#REF!</v>
      </c>
      <c r="AU29" s="6" t="e">
        <f>#REF!</f>
        <v>#REF!</v>
      </c>
      <c r="AV29" s="6" t="e">
        <f>#REF!</f>
        <v>#REF!</v>
      </c>
      <c r="AW29" s="6" t="e">
        <f>#REF!</f>
        <v>#REF!</v>
      </c>
      <c r="AX29" s="6" t="e">
        <f>#REF!</f>
        <v>#REF!</v>
      </c>
    </row>
    <row r="30" spans="1:50" x14ac:dyDescent="0.25">
      <c r="A30" s="4">
        <f>'NiPA-62-F_UG_1__2026-03-24_11-4'!B35</f>
        <v>2900000000</v>
      </c>
      <c r="B30" s="4">
        <f t="shared" si="5"/>
        <v>2.9</v>
      </c>
      <c r="C30" s="5">
        <f>№1!U35</f>
        <v>9.7234839125822905</v>
      </c>
      <c r="D30" s="5">
        <f>'NiPA-62-F_UG_1__2026-03-24_11-4'!U35</f>
        <v>8.1624859999999995</v>
      </c>
      <c r="E30" s="5" t="e">
        <f>#REF!</f>
        <v>#REF!</v>
      </c>
      <c r="F30" s="5" t="e">
        <f>#REF!</f>
        <v>#REF!</v>
      </c>
      <c r="G30" s="5" t="e">
        <f>#REF!</f>
        <v>#REF!</v>
      </c>
      <c r="H30" s="5" t="e">
        <f>#REF!</f>
        <v>#REF!</v>
      </c>
      <c r="I30" s="5" t="e">
        <f>#REF!</f>
        <v>#REF!</v>
      </c>
      <c r="J30" s="5" t="e">
        <f>#REF!</f>
        <v>#REF!</v>
      </c>
      <c r="K30" s="6">
        <f>№1!P35</f>
        <v>39.878219000000001</v>
      </c>
      <c r="L30" s="6">
        <f>'NiPA-62-F_UG_1__2026-03-24_11-4'!P35</f>
        <v>39.118223999999998</v>
      </c>
      <c r="M30" s="6" t="e">
        <f>#REF!</f>
        <v>#REF!</v>
      </c>
      <c r="N30" s="6" t="e">
        <f>#REF!</f>
        <v>#REF!</v>
      </c>
      <c r="O30" s="6" t="e">
        <f>#REF!</f>
        <v>#REF!</v>
      </c>
      <c r="P30" s="6" t="e">
        <f>#REF!</f>
        <v>#REF!</v>
      </c>
      <c r="Q30" s="6" t="e">
        <f>#REF!</f>
        <v>#REF!</v>
      </c>
      <c r="R30" s="6" t="e">
        <f>#REF!</f>
        <v>#REF!</v>
      </c>
      <c r="S30" s="5">
        <f>№1!R35</f>
        <v>0.135577</v>
      </c>
      <c r="T30" s="5">
        <f>'NiPA-62-F_UG_1__2026-03-24_11-4'!R35</f>
        <v>0.70881099999999997</v>
      </c>
      <c r="U30" s="5" t="e">
        <f>#REF!</f>
        <v>#REF!</v>
      </c>
      <c r="V30" s="5" t="e">
        <f>#REF!</f>
        <v>#REF!</v>
      </c>
      <c r="W30" s="5" t="e">
        <f>#REF!</f>
        <v>#REF!</v>
      </c>
      <c r="X30" s="5" t="e">
        <f>#REF!</f>
        <v>#REF!</v>
      </c>
      <c r="Y30" s="5" t="e">
        <f>#REF!</f>
        <v>#REF!</v>
      </c>
      <c r="Z30" s="5" t="e">
        <f>#REF!</f>
        <v>#REF!</v>
      </c>
      <c r="AA30" s="6">
        <f>№1!Q35</f>
        <v>-1.8100000000000001E-4</v>
      </c>
      <c r="AB30" s="6">
        <f>'NiPA-62-F_UG_1__2026-03-24_11-4'!Q35</f>
        <v>-3.6699999999999998E-4</v>
      </c>
      <c r="AC30" s="6" t="e">
        <f>#REF!</f>
        <v>#REF!</v>
      </c>
      <c r="AD30" s="6" t="e">
        <f>#REF!</f>
        <v>#REF!</v>
      </c>
      <c r="AE30" s="6" t="e">
        <f>#REF!</f>
        <v>#REF!</v>
      </c>
      <c r="AF30" s="6" t="e">
        <f>#REF!</f>
        <v>#REF!</v>
      </c>
      <c r="AG30" s="6" t="e">
        <f>#REF!</f>
        <v>#REF!</v>
      </c>
      <c r="AH30" s="6" t="e">
        <f>#REF!</f>
        <v>#REF!</v>
      </c>
      <c r="AI30" s="5">
        <f>№1!S35</f>
        <v>21.878219000000001</v>
      </c>
      <c r="AJ30" s="5">
        <f>'NiPA-62-F_UG_1__2026-03-24_11-4'!S35</f>
        <v>12.118224</v>
      </c>
      <c r="AK30" s="5" t="e">
        <f>#REF!</f>
        <v>#REF!</v>
      </c>
      <c r="AL30" s="5" t="e">
        <f>#REF!</f>
        <v>#REF!</v>
      </c>
      <c r="AM30" s="5" t="e">
        <f>#REF!</f>
        <v>#REF!</v>
      </c>
      <c r="AN30" s="5" t="e">
        <f>#REF!</f>
        <v>#REF!</v>
      </c>
      <c r="AO30" s="5" t="e">
        <f>#REF!</f>
        <v>#REF!</v>
      </c>
      <c r="AP30" s="5" t="e">
        <f>#REF!</f>
        <v>#REF!</v>
      </c>
      <c r="AQ30" s="6">
        <f>№1!T35</f>
        <v>254.47816628542853</v>
      </c>
      <c r="AR30" s="6">
        <f>'NiPA-62-F_UG_1__2026-03-24_11-4'!T35</f>
        <v>38.602367000000001</v>
      </c>
      <c r="AS30" s="6" t="e">
        <f>#REF!</f>
        <v>#REF!</v>
      </c>
      <c r="AT30" s="6" t="e">
        <f>#REF!</f>
        <v>#REF!</v>
      </c>
      <c r="AU30" s="6" t="e">
        <f>#REF!</f>
        <v>#REF!</v>
      </c>
      <c r="AV30" s="6" t="e">
        <f>#REF!</f>
        <v>#REF!</v>
      </c>
      <c r="AW30" s="6" t="e">
        <f>#REF!</f>
        <v>#REF!</v>
      </c>
      <c r="AX30" s="6" t="e">
        <f>#REF!</f>
        <v>#REF!</v>
      </c>
    </row>
    <row r="31" spans="1:50" x14ac:dyDescent="0.25">
      <c r="A31" s="3">
        <f>'NiPA-62-F_UG_1__2026-03-24_11-4'!B36</f>
        <v>3000000000</v>
      </c>
      <c r="B31" s="4">
        <f t="shared" si="5"/>
        <v>3</v>
      </c>
      <c r="C31" s="5">
        <f>№1!U36</f>
        <v>9.8025846200095366</v>
      </c>
      <c r="D31" s="5">
        <f>'NiPA-62-F_UG_1__2026-03-24_11-4'!U36</f>
        <v>8.241816</v>
      </c>
      <c r="E31" s="5" t="e">
        <f>#REF!</f>
        <v>#REF!</v>
      </c>
      <c r="F31" s="5" t="e">
        <f>#REF!</f>
        <v>#REF!</v>
      </c>
      <c r="G31" s="5" t="e">
        <f>#REF!</f>
        <v>#REF!</v>
      </c>
      <c r="H31" s="5" t="e">
        <f>#REF!</f>
        <v>#REF!</v>
      </c>
      <c r="I31" s="5" t="e">
        <f>#REF!</f>
        <v>#REF!</v>
      </c>
      <c r="J31" s="5" t="e">
        <f>#REF!</f>
        <v>#REF!</v>
      </c>
      <c r="K31" s="6">
        <f>№1!P36</f>
        <v>39.913406000000002</v>
      </c>
      <c r="L31" s="6">
        <f>'NiPA-62-F_UG_1__2026-03-24_11-4'!P36</f>
        <v>39.160229000000001</v>
      </c>
      <c r="M31" s="6" t="e">
        <f>#REF!</f>
        <v>#REF!</v>
      </c>
      <c r="N31" s="6" t="e">
        <f>#REF!</f>
        <v>#REF!</v>
      </c>
      <c r="O31" s="6" t="e">
        <f>#REF!</f>
        <v>#REF!</v>
      </c>
      <c r="P31" s="6" t="e">
        <f>#REF!</f>
        <v>#REF!</v>
      </c>
      <c r="Q31" s="6" t="e">
        <f>#REF!</f>
        <v>#REF!</v>
      </c>
      <c r="R31" s="6" t="e">
        <f>#REF!</f>
        <v>#REF!</v>
      </c>
      <c r="S31" s="5">
        <f>№1!R36</f>
        <v>0.136461</v>
      </c>
      <c r="T31" s="5">
        <f>'NiPA-62-F_UG_1__2026-03-24_11-4'!R36</f>
        <v>0.71170100000000003</v>
      </c>
      <c r="U31" s="5" t="e">
        <f>#REF!</f>
        <v>#REF!</v>
      </c>
      <c r="V31" s="5" t="e">
        <f>#REF!</f>
        <v>#REF!</v>
      </c>
      <c r="W31" s="5" t="e">
        <f>#REF!</f>
        <v>#REF!</v>
      </c>
      <c r="X31" s="5" t="e">
        <f>#REF!</f>
        <v>#REF!</v>
      </c>
      <c r="Y31" s="5" t="e">
        <f>#REF!</f>
        <v>#REF!</v>
      </c>
      <c r="Z31" s="5" t="e">
        <f>#REF!</f>
        <v>#REF!</v>
      </c>
      <c r="AA31" s="6">
        <f>№1!Q36</f>
        <v>-3.4699999999999998E-4</v>
      </c>
      <c r="AB31" s="6">
        <f>'NiPA-62-F_UG_1__2026-03-24_11-4'!Q36</f>
        <v>-1.3999999999999999E-4</v>
      </c>
      <c r="AC31" s="6" t="e">
        <f>#REF!</f>
        <v>#REF!</v>
      </c>
      <c r="AD31" s="6" t="e">
        <f>#REF!</f>
        <v>#REF!</v>
      </c>
      <c r="AE31" s="6" t="e">
        <f>#REF!</f>
        <v>#REF!</v>
      </c>
      <c r="AF31" s="6" t="e">
        <f>#REF!</f>
        <v>#REF!</v>
      </c>
      <c r="AG31" s="6" t="e">
        <f>#REF!</f>
        <v>#REF!</v>
      </c>
      <c r="AH31" s="6" t="e">
        <f>#REF!</f>
        <v>#REF!</v>
      </c>
      <c r="AI31" s="5">
        <f>№1!S36</f>
        <v>21.913405999999998</v>
      </c>
      <c r="AJ31" s="5">
        <f>'NiPA-62-F_UG_1__2026-03-24_11-4'!S36</f>
        <v>12.160228999999999</v>
      </c>
      <c r="AK31" s="5" t="e">
        <f>#REF!</f>
        <v>#REF!</v>
      </c>
      <c r="AL31" s="5" t="e">
        <f>#REF!</f>
        <v>#REF!</v>
      </c>
      <c r="AM31" s="5" t="e">
        <f>#REF!</f>
        <v>#REF!</v>
      </c>
      <c r="AN31" s="5" t="e">
        <f>#REF!</f>
        <v>#REF!</v>
      </c>
      <c r="AO31" s="5" t="e">
        <f>#REF!</f>
        <v>#REF!</v>
      </c>
      <c r="AP31" s="5" t="e">
        <f>#REF!</f>
        <v>#REF!</v>
      </c>
      <c r="AQ31" s="6">
        <f>№1!T36</f>
        <v>254.899853269472</v>
      </c>
      <c r="AR31" s="6">
        <f>'NiPA-62-F_UG_1__2026-03-24_11-4'!T36</f>
        <v>38.843721000000002</v>
      </c>
      <c r="AS31" s="6" t="e">
        <f>#REF!</f>
        <v>#REF!</v>
      </c>
      <c r="AT31" s="6" t="e">
        <f>#REF!</f>
        <v>#REF!</v>
      </c>
      <c r="AU31" s="6" t="e">
        <f>#REF!</f>
        <v>#REF!</v>
      </c>
      <c r="AV31" s="6" t="e">
        <f>#REF!</f>
        <v>#REF!</v>
      </c>
      <c r="AW31" s="6" t="e">
        <f>#REF!</f>
        <v>#REF!</v>
      </c>
      <c r="AX31" s="6" t="e">
        <f>#REF!</f>
        <v>#REF!</v>
      </c>
    </row>
    <row r="32" spans="1:50" x14ac:dyDescent="0.25">
      <c r="A32" s="4">
        <f>'NiPA-62-F_UG_1__2026-03-24_11-4'!B37</f>
        <v>3100000000</v>
      </c>
      <c r="B32" s="4">
        <f t="shared" si="5"/>
        <v>3.1</v>
      </c>
      <c r="C32" s="5">
        <f>№1!U37</f>
        <v>10.176553028857624</v>
      </c>
      <c r="D32" s="5">
        <f>'NiPA-62-F_UG_1__2026-03-24_11-4'!U37</f>
        <v>7.8071929999999998</v>
      </c>
      <c r="E32" s="5" t="e">
        <f>#REF!</f>
        <v>#REF!</v>
      </c>
      <c r="F32" s="5" t="e">
        <f>#REF!</f>
        <v>#REF!</v>
      </c>
      <c r="G32" s="5" t="e">
        <f>#REF!</f>
        <v>#REF!</v>
      </c>
      <c r="H32" s="5" t="e">
        <f>#REF!</f>
        <v>#REF!</v>
      </c>
      <c r="I32" s="5" t="e">
        <f>#REF!</f>
        <v>#REF!</v>
      </c>
      <c r="J32" s="5" t="e">
        <f>#REF!</f>
        <v>#REF!</v>
      </c>
      <c r="K32" s="6">
        <f>№1!P37</f>
        <v>40.076006999999997</v>
      </c>
      <c r="L32" s="6">
        <f>'NiPA-62-F_UG_1__2026-03-24_11-4'!P37</f>
        <v>38.924948999999998</v>
      </c>
      <c r="M32" s="6" t="e">
        <f>#REF!</f>
        <v>#REF!</v>
      </c>
      <c r="N32" s="6" t="e">
        <f>#REF!</f>
        <v>#REF!</v>
      </c>
      <c r="O32" s="6" t="e">
        <f>#REF!</f>
        <v>#REF!</v>
      </c>
      <c r="P32" s="6" t="e">
        <f>#REF!</f>
        <v>#REF!</v>
      </c>
      <c r="Q32" s="6" t="e">
        <f>#REF!</f>
        <v>#REF!</v>
      </c>
      <c r="R32" s="6" t="e">
        <f>#REF!</f>
        <v>#REF!</v>
      </c>
      <c r="S32" s="5">
        <f>№1!R37</f>
        <v>0.140094</v>
      </c>
      <c r="T32" s="5">
        <f>'NiPA-62-F_UG_1__2026-03-24_11-4'!R37</f>
        <v>0.733935</v>
      </c>
      <c r="U32" s="5" t="e">
        <f>#REF!</f>
        <v>#REF!</v>
      </c>
      <c r="V32" s="5" t="e">
        <f>#REF!</f>
        <v>#REF!</v>
      </c>
      <c r="W32" s="5" t="e">
        <f>#REF!</f>
        <v>#REF!</v>
      </c>
      <c r="X32" s="5" t="e">
        <f>#REF!</f>
        <v>#REF!</v>
      </c>
      <c r="Y32" s="5" t="e">
        <f>#REF!</f>
        <v>#REF!</v>
      </c>
      <c r="Z32" s="5" t="e">
        <f>#REF!</f>
        <v>#REF!</v>
      </c>
      <c r="AA32" s="6">
        <f>№1!Q37</f>
        <v>-8.2999999999999998E-5</v>
      </c>
      <c r="AB32" s="6">
        <f>'NiPA-62-F_UG_1__2026-03-24_11-4'!Q37</f>
        <v>7.6000000000000004E-5</v>
      </c>
      <c r="AC32" s="6" t="e">
        <f>#REF!</f>
        <v>#REF!</v>
      </c>
      <c r="AD32" s="6" t="e">
        <f>#REF!</f>
        <v>#REF!</v>
      </c>
      <c r="AE32" s="6" t="e">
        <f>#REF!</f>
        <v>#REF!</v>
      </c>
      <c r="AF32" s="6" t="e">
        <f>#REF!</f>
        <v>#REF!</v>
      </c>
      <c r="AG32" s="6" t="e">
        <f>#REF!</f>
        <v>#REF!</v>
      </c>
      <c r="AH32" s="6" t="e">
        <f>#REF!</f>
        <v>#REF!</v>
      </c>
      <c r="AI32" s="5">
        <f>№1!S37</f>
        <v>22.076007000000001</v>
      </c>
      <c r="AJ32" s="5">
        <f>'NiPA-62-F_UG_1__2026-03-24_11-4'!S37</f>
        <v>11.924949</v>
      </c>
      <c r="AK32" s="5" t="e">
        <f>#REF!</f>
        <v>#REF!</v>
      </c>
      <c r="AL32" s="5" t="e">
        <f>#REF!</f>
        <v>#REF!</v>
      </c>
      <c r="AM32" s="5" t="e">
        <f>#REF!</f>
        <v>#REF!</v>
      </c>
      <c r="AN32" s="5" t="e">
        <f>#REF!</f>
        <v>#REF!</v>
      </c>
      <c r="AO32" s="5" t="e">
        <f>#REF!</f>
        <v>#REF!</v>
      </c>
      <c r="AP32" s="5" t="e">
        <f>#REF!</f>
        <v>#REF!</v>
      </c>
      <c r="AQ32" s="6">
        <f>№1!T37</f>
        <v>257.82324965506842</v>
      </c>
      <c r="AR32" s="6">
        <f>'NiPA-62-F_UG_1__2026-03-24_11-4'!T37</f>
        <v>35.552008999999998</v>
      </c>
      <c r="AS32" s="6" t="e">
        <f>#REF!</f>
        <v>#REF!</v>
      </c>
      <c r="AT32" s="6" t="e">
        <f>#REF!</f>
        <v>#REF!</v>
      </c>
      <c r="AU32" s="6" t="e">
        <f>#REF!</f>
        <v>#REF!</v>
      </c>
      <c r="AV32" s="6" t="e">
        <f>#REF!</f>
        <v>#REF!</v>
      </c>
      <c r="AW32" s="6" t="e">
        <f>#REF!</f>
        <v>#REF!</v>
      </c>
      <c r="AX32" s="6" t="e">
        <f>#REF!</f>
        <v>#REF!</v>
      </c>
    </row>
    <row r="33" spans="1:50" x14ac:dyDescent="0.25">
      <c r="A33" s="3">
        <f>'NiPA-62-F_UG_1__2026-03-24_11-4'!B38</f>
        <v>3200000000</v>
      </c>
      <c r="B33" s="4">
        <f t="shared" si="5"/>
        <v>3.2</v>
      </c>
      <c r="C33" s="5">
        <f>№1!U38</f>
        <v>10.059106355665392</v>
      </c>
      <c r="D33" s="5">
        <f>'NiPA-62-F_UG_1__2026-03-24_11-4'!U38</f>
        <v>7.8092509999999997</v>
      </c>
      <c r="E33" s="5" t="e">
        <f>#REF!</f>
        <v>#REF!</v>
      </c>
      <c r="F33" s="5" t="e">
        <f>#REF!</f>
        <v>#REF!</v>
      </c>
      <c r="G33" s="5" t="e">
        <f>#REF!</f>
        <v>#REF!</v>
      </c>
      <c r="H33" s="5" t="e">
        <f>#REF!</f>
        <v>#REF!</v>
      </c>
      <c r="I33" s="5" t="e">
        <f>#REF!</f>
        <v>#REF!</v>
      </c>
      <c r="J33" s="5" t="e">
        <f>#REF!</f>
        <v>#REF!</v>
      </c>
      <c r="K33" s="6">
        <f>№1!P38</f>
        <v>40.025593999999998</v>
      </c>
      <c r="L33" s="6">
        <f>'NiPA-62-F_UG_1__2026-03-24_11-4'!P38</f>
        <v>38.926093999999999</v>
      </c>
      <c r="M33" s="6" t="e">
        <f>#REF!</f>
        <v>#REF!</v>
      </c>
      <c r="N33" s="6" t="e">
        <f>#REF!</f>
        <v>#REF!</v>
      </c>
      <c r="O33" s="6" t="e">
        <f>#REF!</f>
        <v>#REF!</v>
      </c>
      <c r="P33" s="6" t="e">
        <f>#REF!</f>
        <v>#REF!</v>
      </c>
      <c r="Q33" s="6" t="e">
        <f>#REF!</f>
        <v>#REF!</v>
      </c>
      <c r="R33" s="6" t="e">
        <f>#REF!</f>
        <v>#REF!</v>
      </c>
      <c r="S33" s="5">
        <f>№1!R38</f>
        <v>0.14510700000000001</v>
      </c>
      <c r="T33" s="5">
        <f>'NiPA-62-F_UG_1__2026-03-24_11-4'!R38</f>
        <v>0.75384700000000004</v>
      </c>
      <c r="U33" s="5" t="e">
        <f>#REF!</f>
        <v>#REF!</v>
      </c>
      <c r="V33" s="5" t="e">
        <f>#REF!</f>
        <v>#REF!</v>
      </c>
      <c r="W33" s="5" t="e">
        <f>#REF!</f>
        <v>#REF!</v>
      </c>
      <c r="X33" s="5" t="e">
        <f>#REF!</f>
        <v>#REF!</v>
      </c>
      <c r="Y33" s="5" t="e">
        <f>#REF!</f>
        <v>#REF!</v>
      </c>
      <c r="Z33" s="5" t="e">
        <f>#REF!</f>
        <v>#REF!</v>
      </c>
      <c r="AA33" s="6">
        <f>№1!Q38</f>
        <v>-2.9100000000000003E-4</v>
      </c>
      <c r="AB33" s="6">
        <f>'NiPA-62-F_UG_1__2026-03-24_11-4'!Q38</f>
        <v>-1.2999999999999999E-5</v>
      </c>
      <c r="AC33" s="6" t="e">
        <f>#REF!</f>
        <v>#REF!</v>
      </c>
      <c r="AD33" s="6" t="e">
        <f>#REF!</f>
        <v>#REF!</v>
      </c>
      <c r="AE33" s="6" t="e">
        <f>#REF!</f>
        <v>#REF!</v>
      </c>
      <c r="AF33" s="6" t="e">
        <f>#REF!</f>
        <v>#REF!</v>
      </c>
      <c r="AG33" s="6" t="e">
        <f>#REF!</f>
        <v>#REF!</v>
      </c>
      <c r="AH33" s="6" t="e">
        <f>#REF!</f>
        <v>#REF!</v>
      </c>
      <c r="AI33" s="5">
        <f>№1!S38</f>
        <v>22.025594000000002</v>
      </c>
      <c r="AJ33" s="5">
        <f>'NiPA-62-F_UG_1__2026-03-24_11-4'!S38</f>
        <v>11.926094000000001</v>
      </c>
      <c r="AK33" s="5" t="e">
        <f>#REF!</f>
        <v>#REF!</v>
      </c>
      <c r="AL33" s="5" t="e">
        <f>#REF!</f>
        <v>#REF!</v>
      </c>
      <c r="AM33" s="5" t="e">
        <f>#REF!</f>
        <v>#REF!</v>
      </c>
      <c r="AN33" s="5" t="e">
        <f>#REF!</f>
        <v>#REF!</v>
      </c>
      <c r="AO33" s="5" t="e">
        <f>#REF!</f>
        <v>#REF!</v>
      </c>
      <c r="AP33" s="5" t="e">
        <f>#REF!</f>
        <v>#REF!</v>
      </c>
      <c r="AQ33" s="6">
        <f>№1!T38</f>
        <v>246.02560822647555</v>
      </c>
      <c r="AR33" s="6">
        <f>'NiPA-62-F_UG_1__2026-03-24_11-4'!T38</f>
        <v>34.622692999999998</v>
      </c>
      <c r="AS33" s="6" t="e">
        <f>#REF!</f>
        <v>#REF!</v>
      </c>
      <c r="AT33" s="6" t="e">
        <f>#REF!</f>
        <v>#REF!</v>
      </c>
      <c r="AU33" s="6" t="e">
        <f>#REF!</f>
        <v>#REF!</v>
      </c>
      <c r="AV33" s="6" t="e">
        <f>#REF!</f>
        <v>#REF!</v>
      </c>
      <c r="AW33" s="6" t="e">
        <f>#REF!</f>
        <v>#REF!</v>
      </c>
      <c r="AX33" s="6" t="e">
        <f>#REF!</f>
        <v>#REF!</v>
      </c>
    </row>
    <row r="34" spans="1:50" x14ac:dyDescent="0.25">
      <c r="A34" s="4">
        <f>'NiPA-62-F_UG_1__2026-03-24_11-4'!B39</f>
        <v>3300000000</v>
      </c>
      <c r="B34" s="4">
        <f t="shared" si="5"/>
        <v>3.3</v>
      </c>
      <c r="C34" s="5">
        <f>№1!U39</f>
        <v>9.4792112086924227</v>
      </c>
      <c r="D34" s="5">
        <f>'NiPA-62-F_UG_1__2026-03-24_11-4'!U39</f>
        <v>7.603631</v>
      </c>
      <c r="E34" s="5" t="e">
        <f>#REF!</f>
        <v>#REF!</v>
      </c>
      <c r="F34" s="5" t="e">
        <f>#REF!</f>
        <v>#REF!</v>
      </c>
      <c r="G34" s="5" t="e">
        <f>#REF!</f>
        <v>#REF!</v>
      </c>
      <c r="H34" s="5" t="e">
        <f>#REF!</f>
        <v>#REF!</v>
      </c>
      <c r="I34" s="5" t="e">
        <f>#REF!</f>
        <v>#REF!</v>
      </c>
      <c r="J34" s="5" t="e">
        <f>#REF!</f>
        <v>#REF!</v>
      </c>
      <c r="K34" s="6">
        <f>№1!P39</f>
        <v>39.767721999999999</v>
      </c>
      <c r="L34" s="6">
        <f>'NiPA-62-F_UG_1__2026-03-24_11-4'!P39</f>
        <v>38.810209999999998</v>
      </c>
      <c r="M34" s="6" t="e">
        <f>#REF!</f>
        <v>#REF!</v>
      </c>
      <c r="N34" s="6" t="e">
        <f>#REF!</f>
        <v>#REF!</v>
      </c>
      <c r="O34" s="6" t="e">
        <f>#REF!</f>
        <v>#REF!</v>
      </c>
      <c r="P34" s="6" t="e">
        <f>#REF!</f>
        <v>#REF!</v>
      </c>
      <c r="Q34" s="6" t="e">
        <f>#REF!</f>
        <v>#REF!</v>
      </c>
      <c r="R34" s="6" t="e">
        <f>#REF!</f>
        <v>#REF!</v>
      </c>
      <c r="S34" s="5">
        <f>№1!R39</f>
        <v>0.144987</v>
      </c>
      <c r="T34" s="5">
        <f>'NiPA-62-F_UG_1__2026-03-24_11-4'!R39</f>
        <v>0.74649600000000005</v>
      </c>
      <c r="U34" s="5" t="e">
        <f>#REF!</f>
        <v>#REF!</v>
      </c>
      <c r="V34" s="5" t="e">
        <f>#REF!</f>
        <v>#REF!</v>
      </c>
      <c r="W34" s="5" t="e">
        <f>#REF!</f>
        <v>#REF!</v>
      </c>
      <c r="X34" s="5" t="e">
        <f>#REF!</f>
        <v>#REF!</v>
      </c>
      <c r="Y34" s="5" t="e">
        <f>#REF!</f>
        <v>#REF!</v>
      </c>
      <c r="Z34" s="5" t="e">
        <f>#REF!</f>
        <v>#REF!</v>
      </c>
      <c r="AA34" s="6">
        <f>№1!Q39</f>
        <v>-2.42E-4</v>
      </c>
      <c r="AB34" s="6">
        <f>'NiPA-62-F_UG_1__2026-03-24_11-4'!Q39</f>
        <v>-3.5500000000000001E-4</v>
      </c>
      <c r="AC34" s="6" t="e">
        <f>#REF!</f>
        <v>#REF!</v>
      </c>
      <c r="AD34" s="6" t="e">
        <f>#REF!</f>
        <v>#REF!</v>
      </c>
      <c r="AE34" s="6" t="e">
        <f>#REF!</f>
        <v>#REF!</v>
      </c>
      <c r="AF34" s="6" t="e">
        <f>#REF!</f>
        <v>#REF!</v>
      </c>
      <c r="AG34" s="6" t="e">
        <f>#REF!</f>
        <v>#REF!</v>
      </c>
      <c r="AH34" s="6" t="e">
        <f>#REF!</f>
        <v>#REF!</v>
      </c>
      <c r="AI34" s="5">
        <f>№1!S39</f>
        <v>21.767721999999999</v>
      </c>
      <c r="AJ34" s="5">
        <f>'NiPA-62-F_UG_1__2026-03-24_11-4'!S39</f>
        <v>11.81021</v>
      </c>
      <c r="AK34" s="5" t="e">
        <f>#REF!</f>
        <v>#REF!</v>
      </c>
      <c r="AL34" s="5" t="e">
        <f>#REF!</f>
        <v>#REF!</v>
      </c>
      <c r="AM34" s="5" t="e">
        <f>#REF!</f>
        <v>#REF!</v>
      </c>
      <c r="AN34" s="5" t="e">
        <f>#REF!</f>
        <v>#REF!</v>
      </c>
      <c r="AO34" s="5" t="e">
        <f>#REF!</f>
        <v>#REF!</v>
      </c>
      <c r="AP34" s="5" t="e">
        <f>#REF!</f>
        <v>#REF!</v>
      </c>
      <c r="AQ34" s="6">
        <f>№1!T39</f>
        <v>231.94482151218492</v>
      </c>
      <c r="AR34" s="6">
        <f>'NiPA-62-F_UG_1__2026-03-24_11-4'!T39</f>
        <v>33.979897000000001</v>
      </c>
      <c r="AS34" s="6" t="e">
        <f>#REF!</f>
        <v>#REF!</v>
      </c>
      <c r="AT34" s="6" t="e">
        <f>#REF!</f>
        <v>#REF!</v>
      </c>
      <c r="AU34" s="6" t="e">
        <f>#REF!</f>
        <v>#REF!</v>
      </c>
      <c r="AV34" s="6" t="e">
        <f>#REF!</f>
        <v>#REF!</v>
      </c>
      <c r="AW34" s="6" t="e">
        <f>#REF!</f>
        <v>#REF!</v>
      </c>
      <c r="AX34" s="6" t="e">
        <f>#REF!</f>
        <v>#REF!</v>
      </c>
    </row>
    <row r="35" spans="1:50" x14ac:dyDescent="0.25">
      <c r="A35" s="3">
        <f>'NiPA-62-F_UG_1__2026-03-24_11-4'!B40</f>
        <v>3400000000</v>
      </c>
      <c r="B35" s="4">
        <f t="shared" si="5"/>
        <v>3.4</v>
      </c>
      <c r="C35" s="5">
        <f>№1!U40</f>
        <v>10.269140598965654</v>
      </c>
      <c r="D35" s="5">
        <f>'NiPA-62-F_UG_1__2026-03-24_11-4'!U40</f>
        <v>7.106986</v>
      </c>
      <c r="E35" s="5" t="e">
        <f>#REF!</f>
        <v>#REF!</v>
      </c>
      <c r="F35" s="5" t="e">
        <f>#REF!</f>
        <v>#REF!</v>
      </c>
      <c r="G35" s="5" t="e">
        <f>#REF!</f>
        <v>#REF!</v>
      </c>
      <c r="H35" s="5" t="e">
        <f>#REF!</f>
        <v>#REF!</v>
      </c>
      <c r="I35" s="5" t="e">
        <f>#REF!</f>
        <v>#REF!</v>
      </c>
      <c r="J35" s="5" t="e">
        <f>#REF!</f>
        <v>#REF!</v>
      </c>
      <c r="K35" s="6">
        <f>№1!P40</f>
        <v>40.115341000000001</v>
      </c>
      <c r="L35" s="6">
        <f>'NiPA-62-F_UG_1__2026-03-24_11-4'!P40</f>
        <v>38.516855</v>
      </c>
      <c r="M35" s="6" t="e">
        <f>#REF!</f>
        <v>#REF!</v>
      </c>
      <c r="N35" s="6" t="e">
        <f>#REF!</f>
        <v>#REF!</v>
      </c>
      <c r="O35" s="6" t="e">
        <f>#REF!</f>
        <v>#REF!</v>
      </c>
      <c r="P35" s="6" t="e">
        <f>#REF!</f>
        <v>#REF!</v>
      </c>
      <c r="Q35" s="6" t="e">
        <f>#REF!</f>
        <v>#REF!</v>
      </c>
      <c r="R35" s="6" t="e">
        <f>#REF!</f>
        <v>#REF!</v>
      </c>
      <c r="S35" s="5">
        <f>№1!R40</f>
        <v>0.146148</v>
      </c>
      <c r="T35" s="5">
        <f>'NiPA-62-F_UG_1__2026-03-24_11-4'!R40</f>
        <v>0.75879399999999997</v>
      </c>
      <c r="U35" s="5" t="e">
        <f>#REF!</f>
        <v>#REF!</v>
      </c>
      <c r="V35" s="5" t="e">
        <f>#REF!</f>
        <v>#REF!</v>
      </c>
      <c r="W35" s="5" t="e">
        <f>#REF!</f>
        <v>#REF!</v>
      </c>
      <c r="X35" s="5" t="e">
        <f>#REF!</f>
        <v>#REF!</v>
      </c>
      <c r="Y35" s="5" t="e">
        <f>#REF!</f>
        <v>#REF!</v>
      </c>
      <c r="Z35" s="5" t="e">
        <f>#REF!</f>
        <v>#REF!</v>
      </c>
      <c r="AA35" s="6">
        <f>№1!Q40</f>
        <v>-2.9E-4</v>
      </c>
      <c r="AB35" s="6">
        <f>'NiPA-62-F_UG_1__2026-03-24_11-4'!Q40</f>
        <v>-2.3E-5</v>
      </c>
      <c r="AC35" s="6" t="e">
        <f>#REF!</f>
        <v>#REF!</v>
      </c>
      <c r="AD35" s="6" t="e">
        <f>#REF!</f>
        <v>#REF!</v>
      </c>
      <c r="AE35" s="6" t="e">
        <f>#REF!</f>
        <v>#REF!</v>
      </c>
      <c r="AF35" s="6" t="e">
        <f>#REF!</f>
        <v>#REF!</v>
      </c>
      <c r="AG35" s="6" t="e">
        <f>#REF!</f>
        <v>#REF!</v>
      </c>
      <c r="AH35" s="6" t="e">
        <f>#REF!</f>
        <v>#REF!</v>
      </c>
      <c r="AI35" s="5">
        <f>№1!S40</f>
        <v>22.115341000000001</v>
      </c>
      <c r="AJ35" s="5">
        <f>'NiPA-62-F_UG_1__2026-03-24_11-4'!S40</f>
        <v>11.516855</v>
      </c>
      <c r="AK35" s="5" t="e">
        <f>#REF!</f>
        <v>#REF!</v>
      </c>
      <c r="AL35" s="5" t="e">
        <f>#REF!</f>
        <v>#REF!</v>
      </c>
      <c r="AM35" s="5" t="e">
        <f>#REF!</f>
        <v>#REF!</v>
      </c>
      <c r="AN35" s="5" t="e">
        <f>#REF!</f>
        <v>#REF!</v>
      </c>
      <c r="AO35" s="5" t="e">
        <f>#REF!</f>
        <v>#REF!</v>
      </c>
      <c r="AP35" s="5" t="e">
        <f>#REF!</f>
        <v>#REF!</v>
      </c>
      <c r="AQ35" s="6">
        <f>№1!T40</f>
        <v>249.40580938788162</v>
      </c>
      <c r="AR35" s="6">
        <f>'NiPA-62-F_UG_1__2026-03-24_11-4'!T40</f>
        <v>31.091605999999999</v>
      </c>
      <c r="AS35" s="6" t="e">
        <f>#REF!</f>
        <v>#REF!</v>
      </c>
      <c r="AT35" s="6" t="e">
        <f>#REF!</f>
        <v>#REF!</v>
      </c>
      <c r="AU35" s="6" t="e">
        <f>#REF!</f>
        <v>#REF!</v>
      </c>
      <c r="AV35" s="6" t="e">
        <f>#REF!</f>
        <v>#REF!</v>
      </c>
      <c r="AW35" s="6" t="e">
        <f>#REF!</f>
        <v>#REF!</v>
      </c>
      <c r="AX35" s="6" t="e">
        <f>#REF!</f>
        <v>#REF!</v>
      </c>
    </row>
    <row r="36" spans="1:50" x14ac:dyDescent="0.25">
      <c r="A36" s="4">
        <f>'NiPA-62-F_UG_1__2026-03-24_11-4'!B41</f>
        <v>3500000000</v>
      </c>
      <c r="B36" s="4">
        <f t="shared" si="5"/>
        <v>3.5</v>
      </c>
      <c r="C36" s="5">
        <f>№1!U41</f>
        <v>10.588233252875382</v>
      </c>
      <c r="D36" s="5">
        <f>'NiPA-62-F_UG_1__2026-03-24_11-4'!U41</f>
        <v>6.8854800000000003</v>
      </c>
      <c r="E36" s="5" t="e">
        <f>#REF!</f>
        <v>#REF!</v>
      </c>
      <c r="F36" s="5" t="e">
        <f>#REF!</f>
        <v>#REF!</v>
      </c>
      <c r="G36" s="5" t="e">
        <f>#REF!</f>
        <v>#REF!</v>
      </c>
      <c r="H36" s="5" t="e">
        <f>#REF!</f>
        <v>#REF!</v>
      </c>
      <c r="I36" s="5" t="e">
        <f>#REF!</f>
        <v>#REF!</v>
      </c>
      <c r="J36" s="5" t="e">
        <f>#REF!</f>
        <v>#REF!</v>
      </c>
      <c r="K36" s="6">
        <f>№1!P41</f>
        <v>40.248235000000001</v>
      </c>
      <c r="L36" s="6">
        <f>'NiPA-62-F_UG_1__2026-03-24_11-4'!P41</f>
        <v>38.379342000000001</v>
      </c>
      <c r="M36" s="6" t="e">
        <f>#REF!</f>
        <v>#REF!</v>
      </c>
      <c r="N36" s="6" t="e">
        <f>#REF!</f>
        <v>#REF!</v>
      </c>
      <c r="O36" s="6" t="e">
        <f>#REF!</f>
        <v>#REF!</v>
      </c>
      <c r="P36" s="6" t="e">
        <f>#REF!</f>
        <v>#REF!</v>
      </c>
      <c r="Q36" s="6" t="e">
        <f>#REF!</f>
        <v>#REF!</v>
      </c>
      <c r="R36" s="6" t="e">
        <f>#REF!</f>
        <v>#REF!</v>
      </c>
      <c r="S36" s="5">
        <f>№1!R41</f>
        <v>0.14887700000000001</v>
      </c>
      <c r="T36" s="5">
        <f>'NiPA-62-F_UG_1__2026-03-24_11-4'!R41</f>
        <v>0.777092</v>
      </c>
      <c r="U36" s="5" t="e">
        <f>#REF!</f>
        <v>#REF!</v>
      </c>
      <c r="V36" s="5" t="e">
        <f>#REF!</f>
        <v>#REF!</v>
      </c>
      <c r="W36" s="5" t="e">
        <f>#REF!</f>
        <v>#REF!</v>
      </c>
      <c r="X36" s="5" t="e">
        <f>#REF!</f>
        <v>#REF!</v>
      </c>
      <c r="Y36" s="5" t="e">
        <f>#REF!</f>
        <v>#REF!</v>
      </c>
      <c r="Z36" s="5" t="e">
        <f>#REF!</f>
        <v>#REF!</v>
      </c>
      <c r="AA36" s="6">
        <f>№1!Q41</f>
        <v>-3.2499999999999999E-4</v>
      </c>
      <c r="AB36" s="6">
        <f>'NiPA-62-F_UG_1__2026-03-24_11-4'!Q41</f>
        <v>-4.9600000000000002E-4</v>
      </c>
      <c r="AC36" s="6" t="e">
        <f>#REF!</f>
        <v>#REF!</v>
      </c>
      <c r="AD36" s="6" t="e">
        <f>#REF!</f>
        <v>#REF!</v>
      </c>
      <c r="AE36" s="6" t="e">
        <f>#REF!</f>
        <v>#REF!</v>
      </c>
      <c r="AF36" s="6" t="e">
        <f>#REF!</f>
        <v>#REF!</v>
      </c>
      <c r="AG36" s="6" t="e">
        <f>#REF!</f>
        <v>#REF!</v>
      </c>
      <c r="AH36" s="6" t="e">
        <f>#REF!</f>
        <v>#REF!</v>
      </c>
      <c r="AI36" s="5">
        <f>№1!S41</f>
        <v>22.248235000000001</v>
      </c>
      <c r="AJ36" s="5">
        <f>'NiPA-62-F_UG_1__2026-03-24_11-4'!S41</f>
        <v>11.379341999999999</v>
      </c>
      <c r="AK36" s="5" t="e">
        <f>#REF!</f>
        <v>#REF!</v>
      </c>
      <c r="AL36" s="5" t="e">
        <f>#REF!</f>
        <v>#REF!</v>
      </c>
      <c r="AM36" s="5" t="e">
        <f>#REF!</f>
        <v>#REF!</v>
      </c>
      <c r="AN36" s="5" t="e">
        <f>#REF!</f>
        <v>#REF!</v>
      </c>
      <c r="AO36" s="5" t="e">
        <f>#REF!</f>
        <v>#REF!</v>
      </c>
      <c r="AP36" s="5" t="e">
        <f>#REF!</f>
        <v>#REF!</v>
      </c>
      <c r="AQ36" s="6">
        <f>№1!T41</f>
        <v>252.48881191538172</v>
      </c>
      <c r="AR36" s="6">
        <f>'NiPA-62-F_UG_1__2026-03-24_11-4'!T41</f>
        <v>29.341486</v>
      </c>
      <c r="AS36" s="6" t="e">
        <f>#REF!</f>
        <v>#REF!</v>
      </c>
      <c r="AT36" s="6" t="e">
        <f>#REF!</f>
        <v>#REF!</v>
      </c>
      <c r="AU36" s="6" t="e">
        <f>#REF!</f>
        <v>#REF!</v>
      </c>
      <c r="AV36" s="6" t="e">
        <f>#REF!</f>
        <v>#REF!</v>
      </c>
      <c r="AW36" s="6" t="e">
        <f>#REF!</f>
        <v>#REF!</v>
      </c>
      <c r="AX36" s="6" t="e">
        <f>#REF!</f>
        <v>#REF!</v>
      </c>
    </row>
    <row r="37" spans="1:50" x14ac:dyDescent="0.25">
      <c r="A37" s="3">
        <f>'NiPA-62-F_UG_1__2026-03-24_11-4'!B42</f>
        <v>3600000000</v>
      </c>
      <c r="B37" s="4">
        <f t="shared" si="5"/>
        <v>3.6</v>
      </c>
      <c r="C37" s="5">
        <f>№1!U42</f>
        <v>10.703413410103504</v>
      </c>
      <c r="D37" s="5">
        <f>'NiPA-62-F_UG_1__2026-03-24_11-4'!U42</f>
        <v>6.9545370000000002</v>
      </c>
      <c r="E37" s="5" t="e">
        <f>#REF!</f>
        <v>#REF!</v>
      </c>
      <c r="F37" s="5" t="e">
        <f>#REF!</f>
        <v>#REF!</v>
      </c>
      <c r="G37" s="5" t="e">
        <f>#REF!</f>
        <v>#REF!</v>
      </c>
      <c r="H37" s="5" t="e">
        <f>#REF!</f>
        <v>#REF!</v>
      </c>
      <c r="I37" s="5" t="e">
        <f>#REF!</f>
        <v>#REF!</v>
      </c>
      <c r="J37" s="5" t="e">
        <f>#REF!</f>
        <v>#REF!</v>
      </c>
      <c r="K37" s="6">
        <f>№1!P42</f>
        <v>40.295223</v>
      </c>
      <c r="L37" s="6">
        <f>'NiPA-62-F_UG_1__2026-03-24_11-4'!P42</f>
        <v>38.422682000000002</v>
      </c>
      <c r="M37" s="6" t="e">
        <f>#REF!</f>
        <v>#REF!</v>
      </c>
      <c r="N37" s="6" t="e">
        <f>#REF!</f>
        <v>#REF!</v>
      </c>
      <c r="O37" s="6" t="e">
        <f>#REF!</f>
        <v>#REF!</v>
      </c>
      <c r="P37" s="6" t="e">
        <f>#REF!</f>
        <v>#REF!</v>
      </c>
      <c r="Q37" s="6" t="e">
        <f>#REF!</f>
        <v>#REF!</v>
      </c>
      <c r="R37" s="6" t="e">
        <f>#REF!</f>
        <v>#REF!</v>
      </c>
      <c r="S37" s="5">
        <f>№1!R42</f>
        <v>0.151449</v>
      </c>
      <c r="T37" s="5">
        <f>'NiPA-62-F_UG_1__2026-03-24_11-4'!R42</f>
        <v>0.77790899999999996</v>
      </c>
      <c r="U37" s="5" t="e">
        <f>#REF!</f>
        <v>#REF!</v>
      </c>
      <c r="V37" s="5" t="e">
        <f>#REF!</f>
        <v>#REF!</v>
      </c>
      <c r="W37" s="5" t="e">
        <f>#REF!</f>
        <v>#REF!</v>
      </c>
      <c r="X37" s="5" t="e">
        <f>#REF!</f>
        <v>#REF!</v>
      </c>
      <c r="Y37" s="5" t="e">
        <f>#REF!</f>
        <v>#REF!</v>
      </c>
      <c r="Z37" s="5" t="e">
        <f>#REF!</f>
        <v>#REF!</v>
      </c>
      <c r="AA37" s="6">
        <f>№1!Q42</f>
        <v>-1.74E-4</v>
      </c>
      <c r="AB37" s="6">
        <f>'NiPA-62-F_UG_1__2026-03-24_11-4'!Q42</f>
        <v>9.7999999999999997E-5</v>
      </c>
      <c r="AC37" s="6" t="e">
        <f>#REF!</f>
        <v>#REF!</v>
      </c>
      <c r="AD37" s="6" t="e">
        <f>#REF!</f>
        <v>#REF!</v>
      </c>
      <c r="AE37" s="6" t="e">
        <f>#REF!</f>
        <v>#REF!</v>
      </c>
      <c r="AF37" s="6" t="e">
        <f>#REF!</f>
        <v>#REF!</v>
      </c>
      <c r="AG37" s="6" t="e">
        <f>#REF!</f>
        <v>#REF!</v>
      </c>
      <c r="AH37" s="6" t="e">
        <f>#REF!</f>
        <v>#REF!</v>
      </c>
      <c r="AI37" s="5">
        <f>№1!S42</f>
        <v>22.295223</v>
      </c>
      <c r="AJ37" s="5">
        <f>'NiPA-62-F_UG_1__2026-03-24_11-4'!S42</f>
        <v>11.422682</v>
      </c>
      <c r="AK37" s="5" t="e">
        <f>#REF!</f>
        <v>#REF!</v>
      </c>
      <c r="AL37" s="5" t="e">
        <f>#REF!</f>
        <v>#REF!</v>
      </c>
      <c r="AM37" s="5" t="e">
        <f>#REF!</f>
        <v>#REF!</v>
      </c>
      <c r="AN37" s="5" t="e">
        <f>#REF!</f>
        <v>#REF!</v>
      </c>
      <c r="AO37" s="5" t="e">
        <f>#REF!</f>
        <v>#REF!</v>
      </c>
      <c r="AP37" s="5" t="e">
        <f>#REF!</f>
        <v>#REF!</v>
      </c>
      <c r="AQ37" s="6">
        <f>№1!T42</f>
        <v>250.91703844800853</v>
      </c>
      <c r="AR37" s="6">
        <f>'NiPA-62-F_UG_1__2026-03-24_11-4'!T42</f>
        <v>29.627735000000001</v>
      </c>
      <c r="AS37" s="6" t="e">
        <f>#REF!</f>
        <v>#REF!</v>
      </c>
      <c r="AT37" s="6" t="e">
        <f>#REF!</f>
        <v>#REF!</v>
      </c>
      <c r="AU37" s="6" t="e">
        <f>#REF!</f>
        <v>#REF!</v>
      </c>
      <c r="AV37" s="6" t="e">
        <f>#REF!</f>
        <v>#REF!</v>
      </c>
      <c r="AW37" s="6" t="e">
        <f>#REF!</f>
        <v>#REF!</v>
      </c>
      <c r="AX37" s="6" t="e">
        <f>#REF!</f>
        <v>#REF!</v>
      </c>
    </row>
    <row r="38" spans="1:50" x14ac:dyDescent="0.25">
      <c r="A38" s="4">
        <f>'NiPA-62-F_UG_1__2026-03-24_11-4'!B43</f>
        <v>3700000000</v>
      </c>
      <c r="B38" s="4">
        <f t="shared" ref="B38:B69" si="6">A38/1000000000</f>
        <v>3.7</v>
      </c>
      <c r="C38" s="5">
        <f>№1!U43</f>
        <v>11.012091213217834</v>
      </c>
      <c r="D38" s="5">
        <f>'NiPA-62-F_UG_1__2026-03-24_11-4'!U43</f>
        <v>7.2946369999999998</v>
      </c>
      <c r="E38" s="5" t="e">
        <f>#REF!</f>
        <v>#REF!</v>
      </c>
      <c r="F38" s="5" t="e">
        <f>#REF!</f>
        <v>#REF!</v>
      </c>
      <c r="G38" s="5" t="e">
        <f>#REF!</f>
        <v>#REF!</v>
      </c>
      <c r="H38" s="5" t="e">
        <f>#REF!</f>
        <v>#REF!</v>
      </c>
      <c r="I38" s="5" t="e">
        <f>#REF!</f>
        <v>#REF!</v>
      </c>
      <c r="J38" s="5" t="e">
        <f>#REF!</f>
        <v>#REF!</v>
      </c>
      <c r="K38" s="6">
        <f>№1!P43</f>
        <v>40.418697999999999</v>
      </c>
      <c r="L38" s="6">
        <f>'NiPA-62-F_UG_1__2026-03-24_11-4'!P43</f>
        <v>38.630037000000002</v>
      </c>
      <c r="M38" s="6" t="e">
        <f>#REF!</f>
        <v>#REF!</v>
      </c>
      <c r="N38" s="6" t="e">
        <f>#REF!</f>
        <v>#REF!</v>
      </c>
      <c r="O38" s="6" t="e">
        <f>#REF!</f>
        <v>#REF!</v>
      </c>
      <c r="P38" s="6" t="e">
        <f>#REF!</f>
        <v>#REF!</v>
      </c>
      <c r="Q38" s="6" t="e">
        <f>#REF!</f>
        <v>#REF!</v>
      </c>
      <c r="R38" s="6" t="e">
        <f>#REF!</f>
        <v>#REF!</v>
      </c>
      <c r="S38" s="5">
        <f>№1!R43</f>
        <v>0.153032</v>
      </c>
      <c r="T38" s="5">
        <f>'NiPA-62-F_UG_1__2026-03-24_11-4'!R43</f>
        <v>0.77167399999999997</v>
      </c>
      <c r="U38" s="5" t="e">
        <f>#REF!</f>
        <v>#REF!</v>
      </c>
      <c r="V38" s="5" t="e">
        <f>#REF!</f>
        <v>#REF!</v>
      </c>
      <c r="W38" s="5" t="e">
        <f>#REF!</f>
        <v>#REF!</v>
      </c>
      <c r="X38" s="5" t="e">
        <f>#REF!</f>
        <v>#REF!</v>
      </c>
      <c r="Y38" s="5" t="e">
        <f>#REF!</f>
        <v>#REF!</v>
      </c>
      <c r="Z38" s="5" t="e">
        <f>#REF!</f>
        <v>#REF!</v>
      </c>
      <c r="AA38" s="6">
        <f>№1!Q43</f>
        <v>-6.3999999999999997E-5</v>
      </c>
      <c r="AB38" s="6">
        <f>'NiPA-62-F_UG_1__2026-03-24_11-4'!Q43</f>
        <v>4.06E-4</v>
      </c>
      <c r="AC38" s="6" t="e">
        <f>#REF!</f>
        <v>#REF!</v>
      </c>
      <c r="AD38" s="6" t="e">
        <f>#REF!</f>
        <v>#REF!</v>
      </c>
      <c r="AE38" s="6" t="e">
        <f>#REF!</f>
        <v>#REF!</v>
      </c>
      <c r="AF38" s="6" t="e">
        <f>#REF!</f>
        <v>#REF!</v>
      </c>
      <c r="AG38" s="6" t="e">
        <f>#REF!</f>
        <v>#REF!</v>
      </c>
      <c r="AH38" s="6" t="e">
        <f>#REF!</f>
        <v>#REF!</v>
      </c>
      <c r="AI38" s="5">
        <f>№1!S43</f>
        <v>22.418697999999999</v>
      </c>
      <c r="AJ38" s="5">
        <f>'NiPA-62-F_UG_1__2026-03-24_11-4'!S43</f>
        <v>11.630037</v>
      </c>
      <c r="AK38" s="5" t="e">
        <f>#REF!</f>
        <v>#REF!</v>
      </c>
      <c r="AL38" s="5" t="e">
        <f>#REF!</f>
        <v>#REF!</v>
      </c>
      <c r="AM38" s="5" t="e">
        <f>#REF!</f>
        <v>#REF!</v>
      </c>
      <c r="AN38" s="5" t="e">
        <f>#REF!</f>
        <v>#REF!</v>
      </c>
      <c r="AO38" s="5" t="e">
        <f>#REF!</f>
        <v>#REF!</v>
      </c>
      <c r="AP38" s="5" t="e">
        <f>#REF!</f>
        <v>#REF!</v>
      </c>
      <c r="AQ38" s="6">
        <f>№1!T43</f>
        <v>255.52534947802269</v>
      </c>
      <c r="AR38" s="6">
        <f>'NiPA-62-F_UG_1__2026-03-24_11-4'!T43</f>
        <v>31.441161000000001</v>
      </c>
      <c r="AS38" s="6" t="e">
        <f>#REF!</f>
        <v>#REF!</v>
      </c>
      <c r="AT38" s="6" t="e">
        <f>#REF!</f>
        <v>#REF!</v>
      </c>
      <c r="AU38" s="6" t="e">
        <f>#REF!</f>
        <v>#REF!</v>
      </c>
      <c r="AV38" s="6" t="e">
        <f>#REF!</f>
        <v>#REF!</v>
      </c>
      <c r="AW38" s="6" t="e">
        <f>#REF!</f>
        <v>#REF!</v>
      </c>
      <c r="AX38" s="6" t="e">
        <f>#REF!</f>
        <v>#REF!</v>
      </c>
    </row>
    <row r="39" spans="1:50" x14ac:dyDescent="0.25">
      <c r="A39" s="3">
        <f>'NiPA-62-F_UG_1__2026-03-24_11-4'!B44</f>
        <v>3800000000</v>
      </c>
      <c r="B39" s="4">
        <f t="shared" si="6"/>
        <v>3.8</v>
      </c>
      <c r="C39" s="5">
        <f>№1!U44</f>
        <v>11.379068190639959</v>
      </c>
      <c r="D39" s="5">
        <f>'NiPA-62-F_UG_1__2026-03-24_11-4'!U44</f>
        <v>7.351388</v>
      </c>
      <c r="E39" s="5" t="e">
        <f>#REF!</f>
        <v>#REF!</v>
      </c>
      <c r="F39" s="5" t="e">
        <f>#REF!</f>
        <v>#REF!</v>
      </c>
      <c r="G39" s="5" t="e">
        <f>#REF!</f>
        <v>#REF!</v>
      </c>
      <c r="H39" s="5" t="e">
        <f>#REF!</f>
        <v>#REF!</v>
      </c>
      <c r="I39" s="5" t="e">
        <f>#REF!</f>
        <v>#REF!</v>
      </c>
      <c r="J39" s="5" t="e">
        <f>#REF!</f>
        <v>#REF!</v>
      </c>
      <c r="K39" s="6">
        <f>№1!P44</f>
        <v>40.561067000000001</v>
      </c>
      <c r="L39" s="6">
        <f>'NiPA-62-F_UG_1__2026-03-24_11-4'!P44</f>
        <v>38.663693000000002</v>
      </c>
      <c r="M39" s="6" t="e">
        <f>#REF!</f>
        <v>#REF!</v>
      </c>
      <c r="N39" s="6" t="e">
        <f>#REF!</f>
        <v>#REF!</v>
      </c>
      <c r="O39" s="6" t="e">
        <f>#REF!</f>
        <v>#REF!</v>
      </c>
      <c r="P39" s="6" t="e">
        <f>#REF!</f>
        <v>#REF!</v>
      </c>
      <c r="Q39" s="6" t="e">
        <f>#REF!</f>
        <v>#REF!</v>
      </c>
      <c r="R39" s="6" t="e">
        <f>#REF!</f>
        <v>#REF!</v>
      </c>
      <c r="S39" s="5">
        <f>№1!R44</f>
        <v>0.15787000000000001</v>
      </c>
      <c r="T39" s="5">
        <f>'NiPA-62-F_UG_1__2026-03-24_11-4'!R44</f>
        <v>0.77915900000000005</v>
      </c>
      <c r="U39" s="5" t="e">
        <f>#REF!</f>
        <v>#REF!</v>
      </c>
      <c r="V39" s="5" t="e">
        <f>#REF!</f>
        <v>#REF!</v>
      </c>
      <c r="W39" s="5" t="e">
        <f>#REF!</f>
        <v>#REF!</v>
      </c>
      <c r="X39" s="5" t="e">
        <f>#REF!</f>
        <v>#REF!</v>
      </c>
      <c r="Y39" s="5" t="e">
        <f>#REF!</f>
        <v>#REF!</v>
      </c>
      <c r="Z39" s="5" t="e">
        <f>#REF!</f>
        <v>#REF!</v>
      </c>
      <c r="AA39" s="6">
        <f>№1!Q44</f>
        <v>-5.2300000000000003E-4</v>
      </c>
      <c r="AB39" s="6">
        <f>'NiPA-62-F_UG_1__2026-03-24_11-4'!Q44</f>
        <v>-2.3E-5</v>
      </c>
      <c r="AC39" s="6" t="e">
        <f>#REF!</f>
        <v>#REF!</v>
      </c>
      <c r="AD39" s="6" t="e">
        <f>#REF!</f>
        <v>#REF!</v>
      </c>
      <c r="AE39" s="6" t="e">
        <f>#REF!</f>
        <v>#REF!</v>
      </c>
      <c r="AF39" s="6" t="e">
        <f>#REF!</f>
        <v>#REF!</v>
      </c>
      <c r="AG39" s="6" t="e">
        <f>#REF!</f>
        <v>#REF!</v>
      </c>
      <c r="AH39" s="6" t="e">
        <f>#REF!</f>
        <v>#REF!</v>
      </c>
      <c r="AI39" s="5">
        <f>№1!S44</f>
        <v>22.561067000000001</v>
      </c>
      <c r="AJ39" s="5">
        <f>'NiPA-62-F_UG_1__2026-03-24_11-4'!S44</f>
        <v>11.663693</v>
      </c>
      <c r="AK39" s="5" t="e">
        <f>#REF!</f>
        <v>#REF!</v>
      </c>
      <c r="AL39" s="5" t="e">
        <f>#REF!</f>
        <v>#REF!</v>
      </c>
      <c r="AM39" s="5" t="e">
        <f>#REF!</f>
        <v>#REF!</v>
      </c>
      <c r="AN39" s="5" t="e">
        <f>#REF!</f>
        <v>#REF!</v>
      </c>
      <c r="AO39" s="5" t="e">
        <f>#REF!</f>
        <v>#REF!</v>
      </c>
      <c r="AP39" s="5" t="e">
        <f>#REF!</f>
        <v>#REF!</v>
      </c>
      <c r="AQ39" s="6">
        <f>№1!T44</f>
        <v>255.99662598050696</v>
      </c>
      <c r="AR39" s="6">
        <f>'NiPA-62-F_UG_1__2026-03-24_11-4'!T44</f>
        <v>31.399229999999999</v>
      </c>
      <c r="AS39" s="6" t="e">
        <f>#REF!</f>
        <v>#REF!</v>
      </c>
      <c r="AT39" s="6" t="e">
        <f>#REF!</f>
        <v>#REF!</v>
      </c>
      <c r="AU39" s="6" t="e">
        <f>#REF!</f>
        <v>#REF!</v>
      </c>
      <c r="AV39" s="6" t="e">
        <f>#REF!</f>
        <v>#REF!</v>
      </c>
      <c r="AW39" s="6" t="e">
        <f>#REF!</f>
        <v>#REF!</v>
      </c>
      <c r="AX39" s="6" t="e">
        <f>#REF!</f>
        <v>#REF!</v>
      </c>
    </row>
    <row r="40" spans="1:50" x14ac:dyDescent="0.25">
      <c r="A40" s="4">
        <f>'NiPA-62-F_UG_1__2026-03-24_11-4'!B45</f>
        <v>3900000000</v>
      </c>
      <c r="B40" s="4">
        <f t="shared" si="6"/>
        <v>3.9</v>
      </c>
      <c r="C40" s="5">
        <f>№1!U45</f>
        <v>12.214511422985554</v>
      </c>
      <c r="D40" s="5">
        <f>'NiPA-62-F_UG_1__2026-03-24_11-4'!U45</f>
        <v>7.5160090000000004</v>
      </c>
      <c r="E40" s="5" t="e">
        <f>#REF!</f>
        <v>#REF!</v>
      </c>
      <c r="F40" s="5" t="e">
        <f>#REF!</f>
        <v>#REF!</v>
      </c>
      <c r="G40" s="5" t="e">
        <f>#REF!</f>
        <v>#REF!</v>
      </c>
      <c r="H40" s="5" t="e">
        <f>#REF!</f>
        <v>#REF!</v>
      </c>
      <c r="I40" s="5" t="e">
        <f>#REF!</f>
        <v>#REF!</v>
      </c>
      <c r="J40" s="5" t="e">
        <f>#REF!</f>
        <v>#REF!</v>
      </c>
      <c r="K40" s="6">
        <f>№1!P45</f>
        <v>40.868760999999999</v>
      </c>
      <c r="L40" s="6">
        <f>'NiPA-62-F_UG_1__2026-03-24_11-4'!P45</f>
        <v>38.759872999999999</v>
      </c>
      <c r="M40" s="6" t="e">
        <f>#REF!</f>
        <v>#REF!</v>
      </c>
      <c r="N40" s="6" t="e">
        <f>#REF!</f>
        <v>#REF!</v>
      </c>
      <c r="O40" s="6" t="e">
        <f>#REF!</f>
        <v>#REF!</v>
      </c>
      <c r="P40" s="6" t="e">
        <f>#REF!</f>
        <v>#REF!</v>
      </c>
      <c r="Q40" s="6" t="e">
        <f>#REF!</f>
        <v>#REF!</v>
      </c>
      <c r="R40" s="6" t="e">
        <f>#REF!</f>
        <v>#REF!</v>
      </c>
      <c r="S40" s="5">
        <f>№1!R45</f>
        <v>0.16684299999999999</v>
      </c>
      <c r="T40" s="5">
        <f>'NiPA-62-F_UG_1__2026-03-24_11-4'!R45</f>
        <v>0.76131400000000005</v>
      </c>
      <c r="U40" s="5" t="e">
        <f>#REF!</f>
        <v>#REF!</v>
      </c>
      <c r="V40" s="5" t="e">
        <f>#REF!</f>
        <v>#REF!</v>
      </c>
      <c r="W40" s="5" t="e">
        <f>#REF!</f>
        <v>#REF!</v>
      </c>
      <c r="X40" s="5" t="e">
        <f>#REF!</f>
        <v>#REF!</v>
      </c>
      <c r="Y40" s="5" t="e">
        <f>#REF!</f>
        <v>#REF!</v>
      </c>
      <c r="Z40" s="5" t="e">
        <f>#REF!</f>
        <v>#REF!</v>
      </c>
      <c r="AA40" s="6">
        <f>№1!Q45</f>
        <v>-4.0299999999999998E-4</v>
      </c>
      <c r="AB40" s="6">
        <f>'NiPA-62-F_UG_1__2026-03-24_11-4'!Q45</f>
        <v>-3.5300000000000002E-4</v>
      </c>
      <c r="AC40" s="6" t="e">
        <f>#REF!</f>
        <v>#REF!</v>
      </c>
      <c r="AD40" s="6" t="e">
        <f>#REF!</f>
        <v>#REF!</v>
      </c>
      <c r="AE40" s="6" t="e">
        <f>#REF!</f>
        <v>#REF!</v>
      </c>
      <c r="AF40" s="6" t="e">
        <f>#REF!</f>
        <v>#REF!</v>
      </c>
      <c r="AG40" s="6" t="e">
        <f>#REF!</f>
        <v>#REF!</v>
      </c>
      <c r="AH40" s="6" t="e">
        <f>#REF!</f>
        <v>#REF!</v>
      </c>
      <c r="AI40" s="5">
        <f>№1!S45</f>
        <v>22.868760999999999</v>
      </c>
      <c r="AJ40" s="5">
        <f>'NiPA-62-F_UG_1__2026-03-24_11-4'!S45</f>
        <v>11.759873000000001</v>
      </c>
      <c r="AK40" s="5" t="e">
        <f>#REF!</f>
        <v>#REF!</v>
      </c>
      <c r="AL40" s="5" t="e">
        <f>#REF!</f>
        <v>#REF!</v>
      </c>
      <c r="AM40" s="5" t="e">
        <f>#REF!</f>
        <v>#REF!</v>
      </c>
      <c r="AN40" s="5" t="e">
        <f>#REF!</f>
        <v>#REF!</v>
      </c>
      <c r="AO40" s="5" t="e">
        <f>#REF!</f>
        <v>#REF!</v>
      </c>
      <c r="AP40" s="5" t="e">
        <f>#REF!</f>
        <v>#REF!</v>
      </c>
      <c r="AQ40" s="6">
        <f>№1!T45</f>
        <v>260.1122802475881</v>
      </c>
      <c r="AR40" s="6">
        <f>'NiPA-62-F_UG_1__2026-03-24_11-4'!T45</f>
        <v>32.907505999999998</v>
      </c>
      <c r="AS40" s="6" t="e">
        <f>#REF!</f>
        <v>#REF!</v>
      </c>
      <c r="AT40" s="6" t="e">
        <f>#REF!</f>
        <v>#REF!</v>
      </c>
      <c r="AU40" s="6" t="e">
        <f>#REF!</f>
        <v>#REF!</v>
      </c>
      <c r="AV40" s="6" t="e">
        <f>#REF!</f>
        <v>#REF!</v>
      </c>
      <c r="AW40" s="6" t="e">
        <f>#REF!</f>
        <v>#REF!</v>
      </c>
      <c r="AX40" s="6" t="e">
        <f>#REF!</f>
        <v>#REF!</v>
      </c>
    </row>
    <row r="41" spans="1:50" x14ac:dyDescent="0.25">
      <c r="A41" s="3">
        <f>'NiPA-62-F_UG_1__2026-03-24_11-4'!B46</f>
        <v>4000000000</v>
      </c>
      <c r="B41" s="4">
        <f t="shared" si="6"/>
        <v>4</v>
      </c>
      <c r="C41" s="5">
        <f>№1!U46</f>
        <v>12.743575608777739</v>
      </c>
      <c r="D41" s="5">
        <f>'NiPA-62-F_UG_1__2026-03-24_11-4'!U46</f>
        <v>7.2259789999999997</v>
      </c>
      <c r="E41" s="5" t="e">
        <f>#REF!</f>
        <v>#REF!</v>
      </c>
      <c r="F41" s="5" t="e">
        <f>#REF!</f>
        <v>#REF!</v>
      </c>
      <c r="G41" s="5" t="e">
        <f>#REF!</f>
        <v>#REF!</v>
      </c>
      <c r="H41" s="5" t="e">
        <f>#REF!</f>
        <v>#REF!</v>
      </c>
      <c r="I41" s="5" t="e">
        <f>#REF!</f>
        <v>#REF!</v>
      </c>
      <c r="J41" s="5" t="e">
        <f>#REF!</f>
        <v>#REF!</v>
      </c>
      <c r="K41" s="6">
        <f>№1!P46</f>
        <v>41.052912999999997</v>
      </c>
      <c r="L41" s="6">
        <f>'NiPA-62-F_UG_1__2026-03-24_11-4'!P46</f>
        <v>38.588966999999997</v>
      </c>
      <c r="M41" s="6" t="e">
        <f>#REF!</f>
        <v>#REF!</v>
      </c>
      <c r="N41" s="6" t="e">
        <f>#REF!</f>
        <v>#REF!</v>
      </c>
      <c r="O41" s="6" t="e">
        <f>#REF!</f>
        <v>#REF!</v>
      </c>
      <c r="P41" s="6" t="e">
        <f>#REF!</f>
        <v>#REF!</v>
      </c>
      <c r="Q41" s="6" t="e">
        <f>#REF!</f>
        <v>#REF!</v>
      </c>
      <c r="R41" s="6" t="e">
        <f>#REF!</f>
        <v>#REF!</v>
      </c>
      <c r="S41" s="5">
        <f>№1!R46</f>
        <v>0.17291300000000001</v>
      </c>
      <c r="T41" s="5">
        <f>'NiPA-62-F_UG_1__2026-03-24_11-4'!R46</f>
        <v>0.76350499999999999</v>
      </c>
      <c r="U41" s="5" t="e">
        <f>#REF!</f>
        <v>#REF!</v>
      </c>
      <c r="V41" s="5" t="e">
        <f>#REF!</f>
        <v>#REF!</v>
      </c>
      <c r="W41" s="5" t="e">
        <f>#REF!</f>
        <v>#REF!</v>
      </c>
      <c r="X41" s="5" t="e">
        <f>#REF!</f>
        <v>#REF!</v>
      </c>
      <c r="Y41" s="5" t="e">
        <f>#REF!</f>
        <v>#REF!</v>
      </c>
      <c r="Z41" s="5" t="e">
        <f>#REF!</f>
        <v>#REF!</v>
      </c>
      <c r="AA41" s="6">
        <f>№1!Q46</f>
        <v>-4.5600000000000003E-4</v>
      </c>
      <c r="AB41" s="6">
        <f>'NiPA-62-F_UG_1__2026-03-24_11-4'!Q46</f>
        <v>3.4200000000000002E-4</v>
      </c>
      <c r="AC41" s="6" t="e">
        <f>#REF!</f>
        <v>#REF!</v>
      </c>
      <c r="AD41" s="6" t="e">
        <f>#REF!</f>
        <v>#REF!</v>
      </c>
      <c r="AE41" s="6" t="e">
        <f>#REF!</f>
        <v>#REF!</v>
      </c>
      <c r="AF41" s="6" t="e">
        <f>#REF!</f>
        <v>#REF!</v>
      </c>
      <c r="AG41" s="6" t="e">
        <f>#REF!</f>
        <v>#REF!</v>
      </c>
      <c r="AH41" s="6" t="e">
        <f>#REF!</f>
        <v>#REF!</v>
      </c>
      <c r="AI41" s="5">
        <f>№1!S46</f>
        <v>23.052913</v>
      </c>
      <c r="AJ41" s="5">
        <f>'NiPA-62-F_UG_1__2026-03-24_11-4'!S46</f>
        <v>11.588967</v>
      </c>
      <c r="AK41" s="5" t="e">
        <f>#REF!</f>
        <v>#REF!</v>
      </c>
      <c r="AL41" s="5" t="e">
        <f>#REF!</f>
        <v>#REF!</v>
      </c>
      <c r="AM41" s="5" t="e">
        <f>#REF!</f>
        <v>#REF!</v>
      </c>
      <c r="AN41" s="5" t="e">
        <f>#REF!</f>
        <v>#REF!</v>
      </c>
      <c r="AO41" s="5" t="e">
        <f>#REF!</f>
        <v>#REF!</v>
      </c>
      <c r="AP41" s="5" t="e">
        <f>#REF!</f>
        <v>#REF!</v>
      </c>
      <c r="AQ41" s="6">
        <f>№1!T46</f>
        <v>261.90875250910079</v>
      </c>
      <c r="AR41" s="6">
        <f>'NiPA-62-F_UG_1__2026-03-24_11-4'!T46</f>
        <v>31.456410999999999</v>
      </c>
      <c r="AS41" s="6" t="e">
        <f>#REF!</f>
        <v>#REF!</v>
      </c>
      <c r="AT41" s="6" t="e">
        <f>#REF!</f>
        <v>#REF!</v>
      </c>
      <c r="AU41" s="6" t="e">
        <f>#REF!</f>
        <v>#REF!</v>
      </c>
      <c r="AV41" s="6" t="e">
        <f>#REF!</f>
        <v>#REF!</v>
      </c>
      <c r="AW41" s="6" t="e">
        <f>#REF!</f>
        <v>#REF!</v>
      </c>
      <c r="AX41" s="6" t="e">
        <f>#REF!</f>
        <v>#REF!</v>
      </c>
    </row>
    <row r="42" spans="1:50" x14ac:dyDescent="0.25">
      <c r="A42" s="4" t="e">
        <f>#REF!</f>
        <v>#REF!</v>
      </c>
      <c r="B42" s="4" t="e">
        <f t="shared" si="6"/>
        <v>#REF!</v>
      </c>
      <c r="C42" s="5">
        <f>№1!U47</f>
        <v>13.010590262044531</v>
      </c>
      <c r="D42" s="5" t="e">
        <f>#REF!</f>
        <v>#REF!</v>
      </c>
      <c r="E42" s="5" t="e">
        <f>#REF!</f>
        <v>#REF!</v>
      </c>
      <c r="F42" s="5" t="e">
        <f>#REF!</f>
        <v>#REF!</v>
      </c>
      <c r="G42" s="5" t="e">
        <f>#REF!</f>
        <v>#REF!</v>
      </c>
      <c r="H42" s="5" t="e">
        <f>#REF!</f>
        <v>#REF!</v>
      </c>
      <c r="I42" s="5" t="e">
        <f>#REF!</f>
        <v>#REF!</v>
      </c>
      <c r="J42" s="5" t="e">
        <f>#REF!</f>
        <v>#REF!</v>
      </c>
      <c r="K42" s="6">
        <f>№1!P47</f>
        <v>41.142969999999998</v>
      </c>
      <c r="L42" s="6" t="e">
        <f>#REF!</f>
        <v>#REF!</v>
      </c>
      <c r="M42" s="6" t="e">
        <f>#REF!</f>
        <v>#REF!</v>
      </c>
      <c r="N42" s="6" t="e">
        <f>#REF!</f>
        <v>#REF!</v>
      </c>
      <c r="O42" s="6" t="e">
        <f>#REF!</f>
        <v>#REF!</v>
      </c>
      <c r="P42" s="6" t="e">
        <f>#REF!</f>
        <v>#REF!</v>
      </c>
      <c r="Q42" s="6" t="e">
        <f>#REF!</f>
        <v>#REF!</v>
      </c>
      <c r="R42" s="6" t="e">
        <f>#REF!</f>
        <v>#REF!</v>
      </c>
      <c r="S42" s="5">
        <f>№1!R47</f>
        <v>0.17927100000000001</v>
      </c>
      <c r="T42" s="5" t="e">
        <f>#REF!</f>
        <v>#REF!</v>
      </c>
      <c r="U42" s="5" t="e">
        <f>#REF!</f>
        <v>#REF!</v>
      </c>
      <c r="V42" s="5" t="e">
        <f>#REF!</f>
        <v>#REF!</v>
      </c>
      <c r="W42" s="5" t="e">
        <f>#REF!</f>
        <v>#REF!</v>
      </c>
      <c r="X42" s="5" t="e">
        <f>#REF!</f>
        <v>#REF!</v>
      </c>
      <c r="Y42" s="5" t="e">
        <f>#REF!</f>
        <v>#REF!</v>
      </c>
      <c r="Z42" s="5" t="e">
        <f>#REF!</f>
        <v>#REF!</v>
      </c>
      <c r="AA42" s="6">
        <f>№1!Q47</f>
        <v>-3.5300000000000002E-4</v>
      </c>
      <c r="AB42" s="6" t="e">
        <f>#REF!</f>
        <v>#REF!</v>
      </c>
      <c r="AC42" s="6" t="e">
        <f>#REF!</f>
        <v>#REF!</v>
      </c>
      <c r="AD42" s="6" t="e">
        <f>#REF!</f>
        <v>#REF!</v>
      </c>
      <c r="AE42" s="6" t="e">
        <f>#REF!</f>
        <v>#REF!</v>
      </c>
      <c r="AF42" s="6" t="e">
        <f>#REF!</f>
        <v>#REF!</v>
      </c>
      <c r="AG42" s="6" t="e">
        <f>#REF!</f>
        <v>#REF!</v>
      </c>
      <c r="AH42" s="6" t="e">
        <f>#REF!</f>
        <v>#REF!</v>
      </c>
      <c r="AI42" s="5">
        <f>№1!S47</f>
        <v>23.142969999999998</v>
      </c>
      <c r="AJ42" s="5" t="e">
        <f>#REF!</f>
        <v>#REF!</v>
      </c>
      <c r="AK42" s="5" t="e">
        <f>#REF!</f>
        <v>#REF!</v>
      </c>
      <c r="AL42" s="5" t="e">
        <f>#REF!</f>
        <v>#REF!</v>
      </c>
      <c r="AM42" s="5" t="e">
        <f>#REF!</f>
        <v>#REF!</v>
      </c>
      <c r="AN42" s="5" t="e">
        <f>#REF!</f>
        <v>#REF!</v>
      </c>
      <c r="AO42" s="5" t="e">
        <f>#REF!</f>
        <v>#REF!</v>
      </c>
      <c r="AP42" s="5" t="e">
        <f>#REF!</f>
        <v>#REF!</v>
      </c>
      <c r="AQ42" s="6">
        <f>№1!T47</f>
        <v>257.93938720860177</v>
      </c>
      <c r="AR42" s="6" t="e">
        <f>#REF!</f>
        <v>#REF!</v>
      </c>
      <c r="AS42" s="6" t="e">
        <f>#REF!</f>
        <v>#REF!</v>
      </c>
      <c r="AT42" s="6" t="e">
        <f>#REF!</f>
        <v>#REF!</v>
      </c>
      <c r="AU42" s="6" t="e">
        <f>#REF!</f>
        <v>#REF!</v>
      </c>
      <c r="AV42" s="6" t="e">
        <f>#REF!</f>
        <v>#REF!</v>
      </c>
      <c r="AW42" s="6" t="e">
        <f>#REF!</f>
        <v>#REF!</v>
      </c>
      <c r="AX42" s="6" t="e">
        <f>#REF!</f>
        <v>#REF!</v>
      </c>
    </row>
    <row r="43" spans="1:50" x14ac:dyDescent="0.25">
      <c r="A43" s="3" t="e">
        <f>#REF!</f>
        <v>#REF!</v>
      </c>
      <c r="B43" s="4" t="e">
        <f t="shared" si="6"/>
        <v>#REF!</v>
      </c>
      <c r="C43" s="5">
        <f>№1!U48</f>
        <v>12.39514181580196</v>
      </c>
      <c r="D43" s="5" t="e">
        <f>#REF!</f>
        <v>#REF!</v>
      </c>
      <c r="E43" s="5" t="e">
        <f>#REF!</f>
        <v>#REF!</v>
      </c>
      <c r="F43" s="5" t="e">
        <f>#REF!</f>
        <v>#REF!</v>
      </c>
      <c r="G43" s="5" t="e">
        <f>#REF!</f>
        <v>#REF!</v>
      </c>
      <c r="H43" s="5" t="e">
        <f>#REF!</f>
        <v>#REF!</v>
      </c>
      <c r="I43" s="5" t="e">
        <f>#REF!</f>
        <v>#REF!</v>
      </c>
      <c r="J43" s="5" t="e">
        <f>#REF!</f>
        <v>#REF!</v>
      </c>
      <c r="K43" s="6">
        <f>№1!P48</f>
        <v>40.932515000000002</v>
      </c>
      <c r="L43" s="6" t="e">
        <f>#REF!</f>
        <v>#REF!</v>
      </c>
      <c r="M43" s="6" t="e">
        <f>#REF!</f>
        <v>#REF!</v>
      </c>
      <c r="N43" s="6" t="e">
        <f>#REF!</f>
        <v>#REF!</v>
      </c>
      <c r="O43" s="6" t="e">
        <f>#REF!</f>
        <v>#REF!</v>
      </c>
      <c r="P43" s="6" t="e">
        <f>#REF!</f>
        <v>#REF!</v>
      </c>
      <c r="Q43" s="6" t="e">
        <f>#REF!</f>
        <v>#REF!</v>
      </c>
      <c r="R43" s="6" t="e">
        <f>#REF!</f>
        <v>#REF!</v>
      </c>
      <c r="S43" s="5">
        <f>№1!R48</f>
        <v>0.17553199999999999</v>
      </c>
      <c r="T43" s="5" t="e">
        <f>#REF!</f>
        <v>#REF!</v>
      </c>
      <c r="U43" s="5" t="e">
        <f>#REF!</f>
        <v>#REF!</v>
      </c>
      <c r="V43" s="5" t="e">
        <f>#REF!</f>
        <v>#REF!</v>
      </c>
      <c r="W43" s="5" t="e">
        <f>#REF!</f>
        <v>#REF!</v>
      </c>
      <c r="X43" s="5" t="e">
        <f>#REF!</f>
        <v>#REF!</v>
      </c>
      <c r="Y43" s="5" t="e">
        <f>#REF!</f>
        <v>#REF!</v>
      </c>
      <c r="Z43" s="5" t="e">
        <f>#REF!</f>
        <v>#REF!</v>
      </c>
      <c r="AA43" s="6">
        <f>№1!Q48</f>
        <v>-4.2499999999999998E-4</v>
      </c>
      <c r="AB43" s="6" t="e">
        <f>#REF!</f>
        <v>#REF!</v>
      </c>
      <c r="AC43" s="6" t="e">
        <f>#REF!</f>
        <v>#REF!</v>
      </c>
      <c r="AD43" s="6" t="e">
        <f>#REF!</f>
        <v>#REF!</v>
      </c>
      <c r="AE43" s="6" t="e">
        <f>#REF!</f>
        <v>#REF!</v>
      </c>
      <c r="AF43" s="6" t="e">
        <f>#REF!</f>
        <v>#REF!</v>
      </c>
      <c r="AG43" s="6" t="e">
        <f>#REF!</f>
        <v>#REF!</v>
      </c>
      <c r="AH43" s="6" t="e">
        <f>#REF!</f>
        <v>#REF!</v>
      </c>
      <c r="AI43" s="5">
        <f>№1!S48</f>
        <v>22.932514999999999</v>
      </c>
      <c r="AJ43" s="5" t="e">
        <f>#REF!</f>
        <v>#REF!</v>
      </c>
      <c r="AK43" s="5" t="e">
        <f>#REF!</f>
        <v>#REF!</v>
      </c>
      <c r="AL43" s="5" t="e">
        <f>#REF!</f>
        <v>#REF!</v>
      </c>
      <c r="AM43" s="5" t="e">
        <f>#REF!</f>
        <v>#REF!</v>
      </c>
      <c r="AN43" s="5" t="e">
        <f>#REF!</f>
        <v>#REF!</v>
      </c>
      <c r="AO43" s="5" t="e">
        <f>#REF!</f>
        <v>#REF!</v>
      </c>
      <c r="AP43" s="5" t="e">
        <f>#REF!</f>
        <v>#REF!</v>
      </c>
      <c r="AQ43" s="6">
        <f>№1!T48</f>
        <v>250.91163844268408</v>
      </c>
      <c r="AR43" s="6" t="e">
        <f>#REF!</f>
        <v>#REF!</v>
      </c>
      <c r="AS43" s="6" t="e">
        <f>#REF!</f>
        <v>#REF!</v>
      </c>
      <c r="AT43" s="6" t="e">
        <f>#REF!</f>
        <v>#REF!</v>
      </c>
      <c r="AU43" s="6" t="e">
        <f>#REF!</f>
        <v>#REF!</v>
      </c>
      <c r="AV43" s="6" t="e">
        <f>#REF!</f>
        <v>#REF!</v>
      </c>
      <c r="AW43" s="6" t="e">
        <f>#REF!</f>
        <v>#REF!</v>
      </c>
      <c r="AX43" s="6" t="e">
        <f>#REF!</f>
        <v>#REF!</v>
      </c>
    </row>
    <row r="44" spans="1:50" x14ac:dyDescent="0.25">
      <c r="A44" s="4" t="e">
        <f>#REF!</f>
        <v>#REF!</v>
      </c>
      <c r="B44" s="4" t="e">
        <f t="shared" si="6"/>
        <v>#REF!</v>
      </c>
      <c r="C44" s="5">
        <f>№1!U49</f>
        <v>12.183307340024736</v>
      </c>
      <c r="D44" s="5" t="e">
        <f>#REF!</f>
        <v>#REF!</v>
      </c>
      <c r="E44" s="5" t="e">
        <f>#REF!</f>
        <v>#REF!</v>
      </c>
      <c r="F44" s="5" t="e">
        <f>#REF!</f>
        <v>#REF!</v>
      </c>
      <c r="G44" s="5" t="e">
        <f>#REF!</f>
        <v>#REF!</v>
      </c>
      <c r="H44" s="5" t="e">
        <f>#REF!</f>
        <v>#REF!</v>
      </c>
      <c r="I44" s="5" t="e">
        <f>#REF!</f>
        <v>#REF!</v>
      </c>
      <c r="J44" s="5" t="e">
        <f>#REF!</f>
        <v>#REF!</v>
      </c>
      <c r="K44" s="6">
        <f>№1!P49</f>
        <v>40.857652000000002</v>
      </c>
      <c r="L44" s="6" t="e">
        <f>#REF!</f>
        <v>#REF!</v>
      </c>
      <c r="M44" s="6" t="e">
        <f>#REF!</f>
        <v>#REF!</v>
      </c>
      <c r="N44" s="6" t="e">
        <f>#REF!</f>
        <v>#REF!</v>
      </c>
      <c r="O44" s="6" t="e">
        <f>#REF!</f>
        <v>#REF!</v>
      </c>
      <c r="P44" s="6" t="e">
        <f>#REF!</f>
        <v>#REF!</v>
      </c>
      <c r="Q44" s="6" t="e">
        <f>#REF!</f>
        <v>#REF!</v>
      </c>
      <c r="R44" s="6" t="e">
        <f>#REF!</f>
        <v>#REF!</v>
      </c>
      <c r="S44" s="5">
        <f>№1!R49</f>
        <v>0.174821</v>
      </c>
      <c r="T44" s="5" t="e">
        <f>#REF!</f>
        <v>#REF!</v>
      </c>
      <c r="U44" s="5" t="e">
        <f>#REF!</f>
        <v>#REF!</v>
      </c>
      <c r="V44" s="5" t="e">
        <f>#REF!</f>
        <v>#REF!</v>
      </c>
      <c r="W44" s="5" t="e">
        <f>#REF!</f>
        <v>#REF!</v>
      </c>
      <c r="X44" s="5" t="e">
        <f>#REF!</f>
        <v>#REF!</v>
      </c>
      <c r="Y44" s="5" t="e">
        <f>#REF!</f>
        <v>#REF!</v>
      </c>
      <c r="Z44" s="5" t="e">
        <f>#REF!</f>
        <v>#REF!</v>
      </c>
      <c r="AA44" s="6">
        <f>№1!Q49</f>
        <v>-3.4699999999999998E-4</v>
      </c>
      <c r="AB44" s="6" t="e">
        <f>#REF!</f>
        <v>#REF!</v>
      </c>
      <c r="AC44" s="6" t="e">
        <f>#REF!</f>
        <v>#REF!</v>
      </c>
      <c r="AD44" s="6" t="e">
        <f>#REF!</f>
        <v>#REF!</v>
      </c>
      <c r="AE44" s="6" t="e">
        <f>#REF!</f>
        <v>#REF!</v>
      </c>
      <c r="AF44" s="6" t="e">
        <f>#REF!</f>
        <v>#REF!</v>
      </c>
      <c r="AG44" s="6" t="e">
        <f>#REF!</f>
        <v>#REF!</v>
      </c>
      <c r="AH44" s="6" t="e">
        <f>#REF!</f>
        <v>#REF!</v>
      </c>
      <c r="AI44" s="5">
        <f>№1!S49</f>
        <v>22.857652000000002</v>
      </c>
      <c r="AJ44" s="5" t="e">
        <f>#REF!</f>
        <v>#REF!</v>
      </c>
      <c r="AK44" s="5" t="e">
        <f>#REF!</f>
        <v>#REF!</v>
      </c>
      <c r="AL44" s="5" t="e">
        <f>#REF!</f>
        <v>#REF!</v>
      </c>
      <c r="AM44" s="5" t="e">
        <f>#REF!</f>
        <v>#REF!</v>
      </c>
      <c r="AN44" s="5" t="e">
        <f>#REF!</f>
        <v>#REF!</v>
      </c>
      <c r="AO44" s="5" t="e">
        <f>#REF!</f>
        <v>#REF!</v>
      </c>
      <c r="AP44" s="5" t="e">
        <f>#REF!</f>
        <v>#REF!</v>
      </c>
      <c r="AQ44" s="6">
        <f>№1!T49</f>
        <v>247.60452130989327</v>
      </c>
      <c r="AR44" s="6" t="e">
        <f>#REF!</f>
        <v>#REF!</v>
      </c>
      <c r="AS44" s="6" t="e">
        <f>#REF!</f>
        <v>#REF!</v>
      </c>
      <c r="AT44" s="6" t="e">
        <f>#REF!</f>
        <v>#REF!</v>
      </c>
      <c r="AU44" s="6" t="e">
        <f>#REF!</f>
        <v>#REF!</v>
      </c>
      <c r="AV44" s="6" t="e">
        <f>#REF!</f>
        <v>#REF!</v>
      </c>
      <c r="AW44" s="6" t="e">
        <f>#REF!</f>
        <v>#REF!</v>
      </c>
      <c r="AX44" s="6" t="e">
        <f>#REF!</f>
        <v>#REF!</v>
      </c>
    </row>
    <row r="45" spans="1:50" x14ac:dyDescent="0.25">
      <c r="A45" s="3" t="e">
        <f>#REF!</f>
        <v>#REF!</v>
      </c>
      <c r="B45" s="4" t="e">
        <f t="shared" si="6"/>
        <v>#REF!</v>
      </c>
      <c r="C45" s="5">
        <f>№1!U50</f>
        <v>12.452398199880106</v>
      </c>
      <c r="D45" s="5" t="e">
        <f>#REF!</f>
        <v>#REF!</v>
      </c>
      <c r="E45" s="5" t="e">
        <f>#REF!</f>
        <v>#REF!</v>
      </c>
      <c r="F45" s="5" t="e">
        <f>#REF!</f>
        <v>#REF!</v>
      </c>
      <c r="G45" s="5" t="e">
        <f>#REF!</f>
        <v>#REF!</v>
      </c>
      <c r="H45" s="5" t="e">
        <f>#REF!</f>
        <v>#REF!</v>
      </c>
      <c r="I45" s="5" t="e">
        <f>#REF!</f>
        <v>#REF!</v>
      </c>
      <c r="J45" s="5" t="e">
        <f>#REF!</f>
        <v>#REF!</v>
      </c>
      <c r="K45" s="6">
        <f>№1!P50</f>
        <v>40.952530000000003</v>
      </c>
      <c r="L45" s="6" t="e">
        <f>#REF!</f>
        <v>#REF!</v>
      </c>
      <c r="M45" s="6" t="e">
        <f>#REF!</f>
        <v>#REF!</v>
      </c>
      <c r="N45" s="6" t="e">
        <f>#REF!</f>
        <v>#REF!</v>
      </c>
      <c r="O45" s="6" t="e">
        <f>#REF!</f>
        <v>#REF!</v>
      </c>
      <c r="P45" s="6" t="e">
        <f>#REF!</f>
        <v>#REF!</v>
      </c>
      <c r="Q45" s="6" t="e">
        <f>#REF!</f>
        <v>#REF!</v>
      </c>
      <c r="R45" s="6" t="e">
        <f>#REF!</f>
        <v>#REF!</v>
      </c>
      <c r="S45" s="5">
        <f>№1!R50</f>
        <v>0.175814</v>
      </c>
      <c r="T45" s="5" t="e">
        <f>#REF!</f>
        <v>#REF!</v>
      </c>
      <c r="U45" s="5" t="e">
        <f>#REF!</f>
        <v>#REF!</v>
      </c>
      <c r="V45" s="5" t="e">
        <f>#REF!</f>
        <v>#REF!</v>
      </c>
      <c r="W45" s="5" t="e">
        <f>#REF!</f>
        <v>#REF!</v>
      </c>
      <c r="X45" s="5" t="e">
        <f>#REF!</f>
        <v>#REF!</v>
      </c>
      <c r="Y45" s="5" t="e">
        <f>#REF!</f>
        <v>#REF!</v>
      </c>
      <c r="Z45" s="5" t="e">
        <f>#REF!</f>
        <v>#REF!</v>
      </c>
      <c r="AA45" s="6">
        <f>№1!Q50</f>
        <v>-2.7599999999999999E-4</v>
      </c>
      <c r="AB45" s="6" t="e">
        <f>#REF!</f>
        <v>#REF!</v>
      </c>
      <c r="AC45" s="6" t="e">
        <f>#REF!</f>
        <v>#REF!</v>
      </c>
      <c r="AD45" s="6" t="e">
        <f>#REF!</f>
        <v>#REF!</v>
      </c>
      <c r="AE45" s="6" t="e">
        <f>#REF!</f>
        <v>#REF!</v>
      </c>
      <c r="AF45" s="6" t="e">
        <f>#REF!</f>
        <v>#REF!</v>
      </c>
      <c r="AG45" s="6" t="e">
        <f>#REF!</f>
        <v>#REF!</v>
      </c>
      <c r="AH45" s="6" t="e">
        <f>#REF!</f>
        <v>#REF!</v>
      </c>
      <c r="AI45" s="5">
        <f>№1!S50</f>
        <v>22.952529999999999</v>
      </c>
      <c r="AJ45" s="5" t="e">
        <f>#REF!</f>
        <v>#REF!</v>
      </c>
      <c r="AK45" s="5" t="e">
        <f>#REF!</f>
        <v>#REF!</v>
      </c>
      <c r="AL45" s="5" t="e">
        <f>#REF!</f>
        <v>#REF!</v>
      </c>
      <c r="AM45" s="5" t="e">
        <f>#REF!</f>
        <v>#REF!</v>
      </c>
      <c r="AN45" s="5" t="e">
        <f>#REF!</f>
        <v>#REF!</v>
      </c>
      <c r="AO45" s="5" t="e">
        <f>#REF!</f>
        <v>#REF!</v>
      </c>
      <c r="AP45" s="5" t="e">
        <f>#REF!</f>
        <v>#REF!</v>
      </c>
      <c r="AQ45" s="6">
        <f>№1!T50</f>
        <v>251.67227186182325</v>
      </c>
      <c r="AR45" s="6" t="e">
        <f>#REF!</f>
        <v>#REF!</v>
      </c>
      <c r="AS45" s="6" t="e">
        <f>#REF!</f>
        <v>#REF!</v>
      </c>
      <c r="AT45" s="6" t="e">
        <f>#REF!</f>
        <v>#REF!</v>
      </c>
      <c r="AU45" s="6" t="e">
        <f>#REF!</f>
        <v>#REF!</v>
      </c>
      <c r="AV45" s="6" t="e">
        <f>#REF!</f>
        <v>#REF!</v>
      </c>
      <c r="AW45" s="6" t="e">
        <f>#REF!</f>
        <v>#REF!</v>
      </c>
      <c r="AX45" s="6" t="e">
        <f>#REF!</f>
        <v>#REF!</v>
      </c>
    </row>
    <row r="46" spans="1:50" x14ac:dyDescent="0.25">
      <c r="A46" s="4" t="e">
        <f>#REF!</f>
        <v>#REF!</v>
      </c>
      <c r="B46" s="4" t="e">
        <f t="shared" si="6"/>
        <v>#REF!</v>
      </c>
      <c r="C46" s="5">
        <f>№1!U51</f>
        <v>12.277182170184528</v>
      </c>
      <c r="D46" s="5" t="e">
        <f>#REF!</f>
        <v>#REF!</v>
      </c>
      <c r="E46" s="5" t="e">
        <f>#REF!</f>
        <v>#REF!</v>
      </c>
      <c r="F46" s="5" t="e">
        <f>#REF!</f>
        <v>#REF!</v>
      </c>
      <c r="G46" s="5" t="e">
        <f>#REF!</f>
        <v>#REF!</v>
      </c>
      <c r="H46" s="5" t="e">
        <f>#REF!</f>
        <v>#REF!</v>
      </c>
      <c r="I46" s="5" t="e">
        <f>#REF!</f>
        <v>#REF!</v>
      </c>
      <c r="J46" s="5" t="e">
        <f>#REF!</f>
        <v>#REF!</v>
      </c>
      <c r="K46" s="6">
        <f>№1!P51</f>
        <v>40.890987000000003</v>
      </c>
      <c r="L46" s="6" t="e">
        <f>#REF!</f>
        <v>#REF!</v>
      </c>
      <c r="M46" s="6" t="e">
        <f>#REF!</f>
        <v>#REF!</v>
      </c>
      <c r="N46" s="6" t="e">
        <f>#REF!</f>
        <v>#REF!</v>
      </c>
      <c r="O46" s="6" t="e">
        <f>#REF!</f>
        <v>#REF!</v>
      </c>
      <c r="P46" s="6" t="e">
        <f>#REF!</f>
        <v>#REF!</v>
      </c>
      <c r="Q46" s="6" t="e">
        <f>#REF!</f>
        <v>#REF!</v>
      </c>
      <c r="R46" s="6" t="e">
        <f>#REF!</f>
        <v>#REF!</v>
      </c>
      <c r="S46" s="5">
        <f>№1!R51</f>
        <v>0.173767</v>
      </c>
      <c r="T46" s="5" t="e">
        <f>#REF!</f>
        <v>#REF!</v>
      </c>
      <c r="U46" s="5" t="e">
        <f>#REF!</f>
        <v>#REF!</v>
      </c>
      <c r="V46" s="5" t="e">
        <f>#REF!</f>
        <v>#REF!</v>
      </c>
      <c r="W46" s="5" t="e">
        <f>#REF!</f>
        <v>#REF!</v>
      </c>
      <c r="X46" s="5" t="e">
        <f>#REF!</f>
        <v>#REF!</v>
      </c>
      <c r="Y46" s="5" t="e">
        <f>#REF!</f>
        <v>#REF!</v>
      </c>
      <c r="Z46" s="5" t="e">
        <f>#REF!</f>
        <v>#REF!</v>
      </c>
      <c r="AA46" s="6">
        <f>№1!Q51</f>
        <v>-2.61E-4</v>
      </c>
      <c r="AB46" s="6" t="e">
        <f>#REF!</f>
        <v>#REF!</v>
      </c>
      <c r="AC46" s="6" t="e">
        <f>#REF!</f>
        <v>#REF!</v>
      </c>
      <c r="AD46" s="6" t="e">
        <f>#REF!</f>
        <v>#REF!</v>
      </c>
      <c r="AE46" s="6" t="e">
        <f>#REF!</f>
        <v>#REF!</v>
      </c>
      <c r="AF46" s="6" t="e">
        <f>#REF!</f>
        <v>#REF!</v>
      </c>
      <c r="AG46" s="6" t="e">
        <f>#REF!</f>
        <v>#REF!</v>
      </c>
      <c r="AH46" s="6" t="e">
        <f>#REF!</f>
        <v>#REF!</v>
      </c>
      <c r="AI46" s="5">
        <f>№1!S51</f>
        <v>22.890986999999999</v>
      </c>
      <c r="AJ46" s="5" t="e">
        <f>#REF!</f>
        <v>#REF!</v>
      </c>
      <c r="AK46" s="5" t="e">
        <f>#REF!</f>
        <v>#REF!</v>
      </c>
      <c r="AL46" s="5" t="e">
        <f>#REF!</f>
        <v>#REF!</v>
      </c>
      <c r="AM46" s="5" t="e">
        <f>#REF!</f>
        <v>#REF!</v>
      </c>
      <c r="AN46" s="5" t="e">
        <f>#REF!</f>
        <v>#REF!</v>
      </c>
      <c r="AO46" s="5" t="e">
        <f>#REF!</f>
        <v>#REF!</v>
      </c>
      <c r="AP46" s="5" t="e">
        <f>#REF!</f>
        <v>#REF!</v>
      </c>
      <c r="AQ46" s="6">
        <f>№1!T51</f>
        <v>251.03579661551115</v>
      </c>
      <c r="AR46" s="6" t="e">
        <f>#REF!</f>
        <v>#REF!</v>
      </c>
      <c r="AS46" s="6" t="e">
        <f>#REF!</f>
        <v>#REF!</v>
      </c>
      <c r="AT46" s="6" t="e">
        <f>#REF!</f>
        <v>#REF!</v>
      </c>
      <c r="AU46" s="6" t="e">
        <f>#REF!</f>
        <v>#REF!</v>
      </c>
      <c r="AV46" s="6" t="e">
        <f>#REF!</f>
        <v>#REF!</v>
      </c>
      <c r="AW46" s="6" t="e">
        <f>#REF!</f>
        <v>#REF!</v>
      </c>
      <c r="AX46" s="6" t="e">
        <f>#REF!</f>
        <v>#REF!</v>
      </c>
    </row>
    <row r="47" spans="1:50" x14ac:dyDescent="0.25">
      <c r="A47" s="3" t="e">
        <f>#REF!</f>
        <v>#REF!</v>
      </c>
      <c r="B47" s="4" t="e">
        <f t="shared" si="6"/>
        <v>#REF!</v>
      </c>
      <c r="C47" s="5">
        <f>№1!U52</f>
        <v>11.858337318836981</v>
      </c>
      <c r="D47" s="5" t="e">
        <f>#REF!</f>
        <v>#REF!</v>
      </c>
      <c r="E47" s="5" t="e">
        <f>#REF!</f>
        <v>#REF!</v>
      </c>
      <c r="F47" s="5" t="e">
        <f>#REF!</f>
        <v>#REF!</v>
      </c>
      <c r="G47" s="5" t="e">
        <f>#REF!</f>
        <v>#REF!</v>
      </c>
      <c r="H47" s="5" t="e">
        <f>#REF!</f>
        <v>#REF!</v>
      </c>
      <c r="I47" s="5" t="e">
        <f>#REF!</f>
        <v>#REF!</v>
      </c>
      <c r="J47" s="5" t="e">
        <f>#REF!</f>
        <v>#REF!</v>
      </c>
      <c r="K47" s="6">
        <f>№1!P52</f>
        <v>40.740237999999998</v>
      </c>
      <c r="L47" s="6" t="e">
        <f>#REF!</f>
        <v>#REF!</v>
      </c>
      <c r="M47" s="6" t="e">
        <f>#REF!</f>
        <v>#REF!</v>
      </c>
      <c r="N47" s="6" t="e">
        <f>#REF!</f>
        <v>#REF!</v>
      </c>
      <c r="O47" s="6" t="e">
        <f>#REF!</f>
        <v>#REF!</v>
      </c>
      <c r="P47" s="6" t="e">
        <f>#REF!</f>
        <v>#REF!</v>
      </c>
      <c r="Q47" s="6" t="e">
        <f>#REF!</f>
        <v>#REF!</v>
      </c>
      <c r="R47" s="6" t="e">
        <f>#REF!</f>
        <v>#REF!</v>
      </c>
      <c r="S47" s="5">
        <f>№1!R52</f>
        <v>0.17422599999999999</v>
      </c>
      <c r="T47" s="5" t="e">
        <f>#REF!</f>
        <v>#REF!</v>
      </c>
      <c r="U47" s="5" t="e">
        <f>#REF!</f>
        <v>#REF!</v>
      </c>
      <c r="V47" s="5" t="e">
        <f>#REF!</f>
        <v>#REF!</v>
      </c>
      <c r="W47" s="5" t="e">
        <f>#REF!</f>
        <v>#REF!</v>
      </c>
      <c r="X47" s="5" t="e">
        <f>#REF!</f>
        <v>#REF!</v>
      </c>
      <c r="Y47" s="5" t="e">
        <f>#REF!</f>
        <v>#REF!</v>
      </c>
      <c r="Z47" s="5" t="e">
        <f>#REF!</f>
        <v>#REF!</v>
      </c>
      <c r="AA47" s="6">
        <f>№1!Q52</f>
        <v>-3.3300000000000002E-4</v>
      </c>
      <c r="AB47" s="6" t="e">
        <f>#REF!</f>
        <v>#REF!</v>
      </c>
      <c r="AC47" s="6" t="e">
        <f>#REF!</f>
        <v>#REF!</v>
      </c>
      <c r="AD47" s="6" t="e">
        <f>#REF!</f>
        <v>#REF!</v>
      </c>
      <c r="AE47" s="6" t="e">
        <f>#REF!</f>
        <v>#REF!</v>
      </c>
      <c r="AF47" s="6" t="e">
        <f>#REF!</f>
        <v>#REF!</v>
      </c>
      <c r="AG47" s="6" t="e">
        <f>#REF!</f>
        <v>#REF!</v>
      </c>
      <c r="AH47" s="6" t="e">
        <f>#REF!</f>
        <v>#REF!</v>
      </c>
      <c r="AI47" s="5">
        <f>№1!S52</f>
        <v>22.740238000000002</v>
      </c>
      <c r="AJ47" s="5" t="e">
        <f>#REF!</f>
        <v>#REF!</v>
      </c>
      <c r="AK47" s="5" t="e">
        <f>#REF!</f>
        <v>#REF!</v>
      </c>
      <c r="AL47" s="5" t="e">
        <f>#REF!</f>
        <v>#REF!</v>
      </c>
      <c r="AM47" s="5" t="e">
        <f>#REF!</f>
        <v>#REF!</v>
      </c>
      <c r="AN47" s="5" t="e">
        <f>#REF!</f>
        <v>#REF!</v>
      </c>
      <c r="AO47" s="5" t="e">
        <f>#REF!</f>
        <v>#REF!</v>
      </c>
      <c r="AP47" s="5" t="e">
        <f>#REF!</f>
        <v>#REF!</v>
      </c>
      <c r="AQ47" s="6">
        <f>№1!T52</f>
        <v>241.78861249979425</v>
      </c>
      <c r="AR47" s="6" t="e">
        <f>#REF!</f>
        <v>#REF!</v>
      </c>
      <c r="AS47" s="6" t="e">
        <f>#REF!</f>
        <v>#REF!</v>
      </c>
      <c r="AT47" s="6" t="e">
        <f>#REF!</f>
        <v>#REF!</v>
      </c>
      <c r="AU47" s="6" t="e">
        <f>#REF!</f>
        <v>#REF!</v>
      </c>
      <c r="AV47" s="6" t="e">
        <f>#REF!</f>
        <v>#REF!</v>
      </c>
      <c r="AW47" s="6" t="e">
        <f>#REF!</f>
        <v>#REF!</v>
      </c>
      <c r="AX47" s="6" t="e">
        <f>#REF!</f>
        <v>#REF!</v>
      </c>
    </row>
    <row r="48" spans="1:50" x14ac:dyDescent="0.25">
      <c r="A48" s="4" t="e">
        <f>#REF!</f>
        <v>#REF!</v>
      </c>
      <c r="B48" s="4" t="e">
        <f t="shared" si="6"/>
        <v>#REF!</v>
      </c>
      <c r="C48" s="5">
        <f>№1!U53</f>
        <v>11.455757190220172</v>
      </c>
      <c r="D48" s="5" t="e">
        <f>#REF!</f>
        <v>#REF!</v>
      </c>
      <c r="E48" s="5" t="e">
        <f>#REF!</f>
        <v>#REF!</v>
      </c>
      <c r="F48" s="5" t="e">
        <f>#REF!</f>
        <v>#REF!</v>
      </c>
      <c r="G48" s="5" t="e">
        <f>#REF!</f>
        <v>#REF!</v>
      </c>
      <c r="H48" s="5" t="e">
        <f>#REF!</f>
        <v>#REF!</v>
      </c>
      <c r="I48" s="5" t="e">
        <f>#REF!</f>
        <v>#REF!</v>
      </c>
      <c r="J48" s="5" t="e">
        <f>#REF!</f>
        <v>#REF!</v>
      </c>
      <c r="K48" s="6">
        <f>№1!P53</f>
        <v>40.590237999999999</v>
      </c>
      <c r="L48" s="6" t="e">
        <f>#REF!</f>
        <v>#REF!</v>
      </c>
      <c r="M48" s="6" t="e">
        <f>#REF!</f>
        <v>#REF!</v>
      </c>
      <c r="N48" s="6" t="e">
        <f>#REF!</f>
        <v>#REF!</v>
      </c>
      <c r="O48" s="6" t="e">
        <f>#REF!</f>
        <v>#REF!</v>
      </c>
      <c r="P48" s="6" t="e">
        <f>#REF!</f>
        <v>#REF!</v>
      </c>
      <c r="Q48" s="6" t="e">
        <f>#REF!</f>
        <v>#REF!</v>
      </c>
      <c r="R48" s="6" t="e">
        <f>#REF!</f>
        <v>#REF!</v>
      </c>
      <c r="S48" s="5">
        <f>№1!R53</f>
        <v>0.169685</v>
      </c>
      <c r="T48" s="5" t="e">
        <f>#REF!</f>
        <v>#REF!</v>
      </c>
      <c r="U48" s="5" t="e">
        <f>#REF!</f>
        <v>#REF!</v>
      </c>
      <c r="V48" s="5" t="e">
        <f>#REF!</f>
        <v>#REF!</v>
      </c>
      <c r="W48" s="5" t="e">
        <f>#REF!</f>
        <v>#REF!</v>
      </c>
      <c r="X48" s="5" t="e">
        <f>#REF!</f>
        <v>#REF!</v>
      </c>
      <c r="Y48" s="5" t="e">
        <f>#REF!</f>
        <v>#REF!</v>
      </c>
      <c r="Z48" s="5" t="e">
        <f>#REF!</f>
        <v>#REF!</v>
      </c>
      <c r="AA48" s="6">
        <f>№1!Q53</f>
        <v>-4.3199999999999998E-4</v>
      </c>
      <c r="AB48" s="6" t="e">
        <f>#REF!</f>
        <v>#REF!</v>
      </c>
      <c r="AC48" s="6" t="e">
        <f>#REF!</f>
        <v>#REF!</v>
      </c>
      <c r="AD48" s="6" t="e">
        <f>#REF!</f>
        <v>#REF!</v>
      </c>
      <c r="AE48" s="6" t="e">
        <f>#REF!</f>
        <v>#REF!</v>
      </c>
      <c r="AF48" s="6" t="e">
        <f>#REF!</f>
        <v>#REF!</v>
      </c>
      <c r="AG48" s="6" t="e">
        <f>#REF!</f>
        <v>#REF!</v>
      </c>
      <c r="AH48" s="6" t="e">
        <f>#REF!</f>
        <v>#REF!</v>
      </c>
      <c r="AI48" s="5">
        <f>№1!S53</f>
        <v>22.590237999999999</v>
      </c>
      <c r="AJ48" s="5" t="e">
        <f>#REF!</f>
        <v>#REF!</v>
      </c>
      <c r="AK48" s="5" t="e">
        <f>#REF!</f>
        <v>#REF!</v>
      </c>
      <c r="AL48" s="5" t="e">
        <f>#REF!</f>
        <v>#REF!</v>
      </c>
      <c r="AM48" s="5" t="e">
        <f>#REF!</f>
        <v>#REF!</v>
      </c>
      <c r="AN48" s="5" t="e">
        <f>#REF!</f>
        <v>#REF!</v>
      </c>
      <c r="AO48" s="5" t="e">
        <f>#REF!</f>
        <v>#REF!</v>
      </c>
      <c r="AP48" s="5" t="e">
        <f>#REF!</f>
        <v>#REF!</v>
      </c>
      <c r="AQ48" s="6">
        <f>№1!T53</f>
        <v>239.78593645730436</v>
      </c>
      <c r="AR48" s="6" t="e">
        <f>#REF!</f>
        <v>#REF!</v>
      </c>
      <c r="AS48" s="6" t="e">
        <f>#REF!</f>
        <v>#REF!</v>
      </c>
      <c r="AT48" s="6" t="e">
        <f>#REF!</f>
        <v>#REF!</v>
      </c>
      <c r="AU48" s="6" t="e">
        <f>#REF!</f>
        <v>#REF!</v>
      </c>
      <c r="AV48" s="6" t="e">
        <f>#REF!</f>
        <v>#REF!</v>
      </c>
      <c r="AW48" s="6" t="e">
        <f>#REF!</f>
        <v>#REF!</v>
      </c>
      <c r="AX48" s="6" t="e">
        <f>#REF!</f>
        <v>#REF!</v>
      </c>
    </row>
    <row r="49" spans="1:50" x14ac:dyDescent="0.25">
      <c r="A49" s="3" t="e">
        <f>#REF!</f>
        <v>#REF!</v>
      </c>
      <c r="B49" s="4" t="e">
        <f t="shared" si="6"/>
        <v>#REF!</v>
      </c>
      <c r="C49" s="5">
        <f>№1!U54</f>
        <v>10.747016112625067</v>
      </c>
      <c r="D49" s="5" t="e">
        <f>#REF!</f>
        <v>#REF!</v>
      </c>
      <c r="E49" s="5" t="e">
        <f>#REF!</f>
        <v>#REF!</v>
      </c>
      <c r="F49" s="5" t="e">
        <f>#REF!</f>
        <v>#REF!</v>
      </c>
      <c r="G49" s="5" t="e">
        <f>#REF!</f>
        <v>#REF!</v>
      </c>
      <c r="H49" s="5" t="e">
        <f>#REF!</f>
        <v>#REF!</v>
      </c>
      <c r="I49" s="5" t="e">
        <f>#REF!</f>
        <v>#REF!</v>
      </c>
      <c r="J49" s="5" t="e">
        <f>#REF!</f>
        <v>#REF!</v>
      </c>
      <c r="K49" s="6">
        <f>№1!P54</f>
        <v>40.312879000000002</v>
      </c>
      <c r="L49" s="6" t="e">
        <f>#REF!</f>
        <v>#REF!</v>
      </c>
      <c r="M49" s="6" t="e">
        <f>#REF!</f>
        <v>#REF!</v>
      </c>
      <c r="N49" s="6" t="e">
        <f>#REF!</f>
        <v>#REF!</v>
      </c>
      <c r="O49" s="6" t="e">
        <f>#REF!</f>
        <v>#REF!</v>
      </c>
      <c r="P49" s="6" t="e">
        <f>#REF!</f>
        <v>#REF!</v>
      </c>
      <c r="Q49" s="6" t="e">
        <f>#REF!</f>
        <v>#REF!</v>
      </c>
      <c r="R49" s="6" t="e">
        <f>#REF!</f>
        <v>#REF!</v>
      </c>
      <c r="S49" s="5">
        <f>№1!R54</f>
        <v>0.164108</v>
      </c>
      <c r="T49" s="5" t="e">
        <f>#REF!</f>
        <v>#REF!</v>
      </c>
      <c r="U49" s="5" t="e">
        <f>#REF!</f>
        <v>#REF!</v>
      </c>
      <c r="V49" s="5" t="e">
        <f>#REF!</f>
        <v>#REF!</v>
      </c>
      <c r="W49" s="5" t="e">
        <f>#REF!</f>
        <v>#REF!</v>
      </c>
      <c r="X49" s="5" t="e">
        <f>#REF!</f>
        <v>#REF!</v>
      </c>
      <c r="Y49" s="5" t="e">
        <f>#REF!</f>
        <v>#REF!</v>
      </c>
      <c r="Z49" s="5" t="e">
        <f>#REF!</f>
        <v>#REF!</v>
      </c>
      <c r="AA49" s="6">
        <f>№1!Q54</f>
        <v>-1.2E-4</v>
      </c>
      <c r="AB49" s="6" t="e">
        <f>#REF!</f>
        <v>#REF!</v>
      </c>
      <c r="AC49" s="6" t="e">
        <f>#REF!</f>
        <v>#REF!</v>
      </c>
      <c r="AD49" s="6" t="e">
        <f>#REF!</f>
        <v>#REF!</v>
      </c>
      <c r="AE49" s="6" t="e">
        <f>#REF!</f>
        <v>#REF!</v>
      </c>
      <c r="AF49" s="6" t="e">
        <f>#REF!</f>
        <v>#REF!</v>
      </c>
      <c r="AG49" s="6" t="e">
        <f>#REF!</f>
        <v>#REF!</v>
      </c>
      <c r="AH49" s="6" t="e">
        <f>#REF!</f>
        <v>#REF!</v>
      </c>
      <c r="AI49" s="5">
        <f>№1!S54</f>
        <v>22.312878999999999</v>
      </c>
      <c r="AJ49" s="5" t="e">
        <f>#REF!</f>
        <v>#REF!</v>
      </c>
      <c r="AK49" s="5" t="e">
        <f>#REF!</f>
        <v>#REF!</v>
      </c>
      <c r="AL49" s="5" t="e">
        <f>#REF!</f>
        <v>#REF!</v>
      </c>
      <c r="AM49" s="5" t="e">
        <f>#REF!</f>
        <v>#REF!</v>
      </c>
      <c r="AN49" s="5" t="e">
        <f>#REF!</f>
        <v>#REF!</v>
      </c>
      <c r="AO49" s="5" t="e">
        <f>#REF!</f>
        <v>#REF!</v>
      </c>
      <c r="AP49" s="5" t="e">
        <f>#REF!</f>
        <v>#REF!</v>
      </c>
      <c r="AQ49" s="6">
        <f>№1!T54</f>
        <v>232.51065452927006</v>
      </c>
      <c r="AR49" s="6" t="e">
        <f>#REF!</f>
        <v>#REF!</v>
      </c>
      <c r="AS49" s="6" t="e">
        <f>#REF!</f>
        <v>#REF!</v>
      </c>
      <c r="AT49" s="6" t="e">
        <f>#REF!</f>
        <v>#REF!</v>
      </c>
      <c r="AU49" s="6" t="e">
        <f>#REF!</f>
        <v>#REF!</v>
      </c>
      <c r="AV49" s="6" t="e">
        <f>#REF!</f>
        <v>#REF!</v>
      </c>
      <c r="AW49" s="6" t="e">
        <f>#REF!</f>
        <v>#REF!</v>
      </c>
      <c r="AX49" s="6" t="e">
        <f>#REF!</f>
        <v>#REF!</v>
      </c>
    </row>
    <row r="50" spans="1:50" x14ac:dyDescent="0.25">
      <c r="A50" s="4" t="e">
        <f>#REF!</f>
        <v>#REF!</v>
      </c>
      <c r="B50" s="4" t="e">
        <f t="shared" si="6"/>
        <v>#REF!</v>
      </c>
      <c r="C50" s="5">
        <f>№1!U55</f>
        <v>10.386430035922135</v>
      </c>
      <c r="D50" s="5" t="e">
        <f>#REF!</f>
        <v>#REF!</v>
      </c>
      <c r="E50" s="5" t="e">
        <f>#REF!</f>
        <v>#REF!</v>
      </c>
      <c r="F50" s="5" t="e">
        <f>#REF!</f>
        <v>#REF!</v>
      </c>
      <c r="G50" s="5" t="e">
        <f>#REF!</f>
        <v>#REF!</v>
      </c>
      <c r="H50" s="5" t="e">
        <f>#REF!</f>
        <v>#REF!</v>
      </c>
      <c r="I50" s="5" t="e">
        <f>#REF!</f>
        <v>#REF!</v>
      </c>
      <c r="J50" s="5" t="e">
        <f>#REF!</f>
        <v>#REF!</v>
      </c>
      <c r="K50" s="6">
        <f>№1!P55</f>
        <v>40.164662999999997</v>
      </c>
      <c r="L50" s="6" t="e">
        <f>#REF!</f>
        <v>#REF!</v>
      </c>
      <c r="M50" s="6" t="e">
        <f>#REF!</f>
        <v>#REF!</v>
      </c>
      <c r="N50" s="6" t="e">
        <f>#REF!</f>
        <v>#REF!</v>
      </c>
      <c r="O50" s="6" t="e">
        <f>#REF!</f>
        <v>#REF!</v>
      </c>
      <c r="P50" s="6" t="e">
        <f>#REF!</f>
        <v>#REF!</v>
      </c>
      <c r="Q50" s="6" t="e">
        <f>#REF!</f>
        <v>#REF!</v>
      </c>
      <c r="R50" s="6" t="e">
        <f>#REF!</f>
        <v>#REF!</v>
      </c>
      <c r="S50" s="5">
        <f>№1!R55</f>
        <v>0.16199</v>
      </c>
      <c r="T50" s="5" t="e">
        <f>#REF!</f>
        <v>#REF!</v>
      </c>
      <c r="U50" s="5" t="e">
        <f>#REF!</f>
        <v>#REF!</v>
      </c>
      <c r="V50" s="5" t="e">
        <f>#REF!</f>
        <v>#REF!</v>
      </c>
      <c r="W50" s="5" t="e">
        <f>#REF!</f>
        <v>#REF!</v>
      </c>
      <c r="X50" s="5" t="e">
        <f>#REF!</f>
        <v>#REF!</v>
      </c>
      <c r="Y50" s="5" t="e">
        <f>#REF!</f>
        <v>#REF!</v>
      </c>
      <c r="Z50" s="5" t="e">
        <f>#REF!</f>
        <v>#REF!</v>
      </c>
      <c r="AA50" s="6">
        <f>№1!Q55</f>
        <v>-2.3499999999999999E-4</v>
      </c>
      <c r="AB50" s="6" t="e">
        <f>#REF!</f>
        <v>#REF!</v>
      </c>
      <c r="AC50" s="6" t="e">
        <f>#REF!</f>
        <v>#REF!</v>
      </c>
      <c r="AD50" s="6" t="e">
        <f>#REF!</f>
        <v>#REF!</v>
      </c>
      <c r="AE50" s="6" t="e">
        <f>#REF!</f>
        <v>#REF!</v>
      </c>
      <c r="AF50" s="6" t="e">
        <f>#REF!</f>
        <v>#REF!</v>
      </c>
      <c r="AG50" s="6" t="e">
        <f>#REF!</f>
        <v>#REF!</v>
      </c>
      <c r="AH50" s="6" t="e">
        <f>#REF!</f>
        <v>#REF!</v>
      </c>
      <c r="AI50" s="5">
        <f>№1!S55</f>
        <v>22.164663000000001</v>
      </c>
      <c r="AJ50" s="5" t="e">
        <f>#REF!</f>
        <v>#REF!</v>
      </c>
      <c r="AK50" s="5" t="e">
        <f>#REF!</f>
        <v>#REF!</v>
      </c>
      <c r="AL50" s="5" t="e">
        <f>#REF!</f>
        <v>#REF!</v>
      </c>
      <c r="AM50" s="5" t="e">
        <f>#REF!</f>
        <v>#REF!</v>
      </c>
      <c r="AN50" s="5" t="e">
        <f>#REF!</f>
        <v>#REF!</v>
      </c>
      <c r="AO50" s="5" t="e">
        <f>#REF!</f>
        <v>#REF!</v>
      </c>
      <c r="AP50" s="5" t="e">
        <f>#REF!</f>
        <v>#REF!</v>
      </c>
      <c r="AQ50" s="6">
        <f>№1!T55</f>
        <v>227.60078447245681</v>
      </c>
      <c r="AR50" s="6" t="e">
        <f>#REF!</f>
        <v>#REF!</v>
      </c>
      <c r="AS50" s="6" t="e">
        <f>#REF!</f>
        <v>#REF!</v>
      </c>
      <c r="AT50" s="6" t="e">
        <f>#REF!</f>
        <v>#REF!</v>
      </c>
      <c r="AU50" s="6" t="e">
        <f>#REF!</f>
        <v>#REF!</v>
      </c>
      <c r="AV50" s="6" t="e">
        <f>#REF!</f>
        <v>#REF!</v>
      </c>
      <c r="AW50" s="6" t="e">
        <f>#REF!</f>
        <v>#REF!</v>
      </c>
      <c r="AX50" s="6" t="e">
        <f>#REF!</f>
        <v>#REF!</v>
      </c>
    </row>
    <row r="51" spans="1:50" x14ac:dyDescent="0.25">
      <c r="A51" s="3" t="e">
        <f>#REF!</f>
        <v>#REF!</v>
      </c>
      <c r="B51" s="4" t="e">
        <f t="shared" si="6"/>
        <v>#REF!</v>
      </c>
      <c r="C51" s="5">
        <f>№1!U56</f>
        <v>10.327449975467221</v>
      </c>
      <c r="D51" s="5" t="e">
        <f>#REF!</f>
        <v>#REF!</v>
      </c>
      <c r="E51" s="5" t="e">
        <f>#REF!</f>
        <v>#REF!</v>
      </c>
      <c r="F51" s="5" t="e">
        <f>#REF!</f>
        <v>#REF!</v>
      </c>
      <c r="G51" s="5" t="e">
        <f>#REF!</f>
        <v>#REF!</v>
      </c>
      <c r="H51" s="5" t="e">
        <f>#REF!</f>
        <v>#REF!</v>
      </c>
      <c r="I51" s="5" t="e">
        <f>#REF!</f>
        <v>#REF!</v>
      </c>
      <c r="J51" s="5" t="e">
        <f>#REF!</f>
        <v>#REF!</v>
      </c>
      <c r="K51" s="6">
        <f>№1!P56</f>
        <v>40.139930999999997</v>
      </c>
      <c r="L51" s="6" t="e">
        <f>#REF!</f>
        <v>#REF!</v>
      </c>
      <c r="M51" s="6" t="e">
        <f>#REF!</f>
        <v>#REF!</v>
      </c>
      <c r="N51" s="6" t="e">
        <f>#REF!</f>
        <v>#REF!</v>
      </c>
      <c r="O51" s="6" t="e">
        <f>#REF!</f>
        <v>#REF!</v>
      </c>
      <c r="P51" s="6" t="e">
        <f>#REF!</f>
        <v>#REF!</v>
      </c>
      <c r="Q51" s="6" t="e">
        <f>#REF!</f>
        <v>#REF!</v>
      </c>
      <c r="R51" s="6" t="e">
        <f>#REF!</f>
        <v>#REF!</v>
      </c>
      <c r="S51" s="5">
        <f>№1!R56</f>
        <v>0.16070799999999999</v>
      </c>
      <c r="T51" s="5" t="e">
        <f>#REF!</f>
        <v>#REF!</v>
      </c>
      <c r="U51" s="5" t="e">
        <f>#REF!</f>
        <v>#REF!</v>
      </c>
      <c r="V51" s="5" t="e">
        <f>#REF!</f>
        <v>#REF!</v>
      </c>
      <c r="W51" s="5" t="e">
        <f>#REF!</f>
        <v>#REF!</v>
      </c>
      <c r="X51" s="5" t="e">
        <f>#REF!</f>
        <v>#REF!</v>
      </c>
      <c r="Y51" s="5" t="e">
        <f>#REF!</f>
        <v>#REF!</v>
      </c>
      <c r="Z51" s="5" t="e">
        <f>#REF!</f>
        <v>#REF!</v>
      </c>
      <c r="AA51" s="6">
        <f>№1!Q56</f>
        <v>-5.2499999999999997E-4</v>
      </c>
      <c r="AB51" s="6" t="e">
        <f>#REF!</f>
        <v>#REF!</v>
      </c>
      <c r="AC51" s="6" t="e">
        <f>#REF!</f>
        <v>#REF!</v>
      </c>
      <c r="AD51" s="6" t="e">
        <f>#REF!</f>
        <v>#REF!</v>
      </c>
      <c r="AE51" s="6" t="e">
        <f>#REF!</f>
        <v>#REF!</v>
      </c>
      <c r="AF51" s="6" t="e">
        <f>#REF!</f>
        <v>#REF!</v>
      </c>
      <c r="AG51" s="6" t="e">
        <f>#REF!</f>
        <v>#REF!</v>
      </c>
      <c r="AH51" s="6" t="e">
        <f>#REF!</f>
        <v>#REF!</v>
      </c>
      <c r="AI51" s="5">
        <f>№1!S56</f>
        <v>22.139931000000001</v>
      </c>
      <c r="AJ51" s="5" t="e">
        <f>#REF!</f>
        <v>#REF!</v>
      </c>
      <c r="AK51" s="5" t="e">
        <f>#REF!</f>
        <v>#REF!</v>
      </c>
      <c r="AL51" s="5" t="e">
        <f>#REF!</f>
        <v>#REF!</v>
      </c>
      <c r="AM51" s="5" t="e">
        <f>#REF!</f>
        <v>#REF!</v>
      </c>
      <c r="AN51" s="5" t="e">
        <f>#REF!</f>
        <v>#REF!</v>
      </c>
      <c r="AO51" s="5" t="e">
        <f>#REF!</f>
        <v>#REF!</v>
      </c>
      <c r="AP51" s="5" t="e">
        <f>#REF!</f>
        <v>#REF!</v>
      </c>
      <c r="AQ51" s="6">
        <f>№1!T56</f>
        <v>228.10568237822642</v>
      </c>
      <c r="AR51" s="6" t="e">
        <f>#REF!</f>
        <v>#REF!</v>
      </c>
      <c r="AS51" s="6" t="e">
        <f>#REF!</f>
        <v>#REF!</v>
      </c>
      <c r="AT51" s="6" t="e">
        <f>#REF!</f>
        <v>#REF!</v>
      </c>
      <c r="AU51" s="6" t="e">
        <f>#REF!</f>
        <v>#REF!</v>
      </c>
      <c r="AV51" s="6" t="e">
        <f>#REF!</f>
        <v>#REF!</v>
      </c>
      <c r="AW51" s="6" t="e">
        <f>#REF!</f>
        <v>#REF!</v>
      </c>
      <c r="AX51" s="6" t="e">
        <f>#REF!</f>
        <v>#REF!</v>
      </c>
    </row>
    <row r="52" spans="1:50" x14ac:dyDescent="0.25">
      <c r="A52" s="4" t="e">
        <f>#REF!</f>
        <v>#REF!</v>
      </c>
      <c r="B52" s="4" t="e">
        <f t="shared" si="6"/>
        <v>#REF!</v>
      </c>
      <c r="C52" s="5">
        <f>№1!U57</f>
        <v>9.9796589560232771</v>
      </c>
      <c r="D52" s="5" t="e">
        <f>#REF!</f>
        <v>#REF!</v>
      </c>
      <c r="E52" s="5" t="e">
        <f>#REF!</f>
        <v>#REF!</v>
      </c>
      <c r="F52" s="5" t="e">
        <f>#REF!</f>
        <v>#REF!</v>
      </c>
      <c r="G52" s="5" t="e">
        <f>#REF!</f>
        <v>#REF!</v>
      </c>
      <c r="H52" s="5" t="e">
        <f>#REF!</f>
        <v>#REF!</v>
      </c>
      <c r="I52" s="5" t="e">
        <f>#REF!</f>
        <v>#REF!</v>
      </c>
      <c r="J52" s="5" t="e">
        <f>#REF!</f>
        <v>#REF!</v>
      </c>
      <c r="K52" s="6">
        <f>№1!P57</f>
        <v>39.991157000000001</v>
      </c>
      <c r="L52" s="6" t="e">
        <f>#REF!</f>
        <v>#REF!</v>
      </c>
      <c r="M52" s="6" t="e">
        <f>#REF!</f>
        <v>#REF!</v>
      </c>
      <c r="N52" s="6" t="e">
        <f>#REF!</f>
        <v>#REF!</v>
      </c>
      <c r="O52" s="6" t="e">
        <f>#REF!</f>
        <v>#REF!</v>
      </c>
      <c r="P52" s="6" t="e">
        <f>#REF!</f>
        <v>#REF!</v>
      </c>
      <c r="Q52" s="6" t="e">
        <f>#REF!</f>
        <v>#REF!</v>
      </c>
      <c r="R52" s="6" t="e">
        <f>#REF!</f>
        <v>#REF!</v>
      </c>
      <c r="S52" s="5">
        <f>№1!R57</f>
        <v>0.16469</v>
      </c>
      <c r="T52" s="5" t="e">
        <f>#REF!</f>
        <v>#REF!</v>
      </c>
      <c r="U52" s="5" t="e">
        <f>#REF!</f>
        <v>#REF!</v>
      </c>
      <c r="V52" s="5" t="e">
        <f>#REF!</f>
        <v>#REF!</v>
      </c>
      <c r="W52" s="5" t="e">
        <f>#REF!</f>
        <v>#REF!</v>
      </c>
      <c r="X52" s="5" t="e">
        <f>#REF!</f>
        <v>#REF!</v>
      </c>
      <c r="Y52" s="5" t="e">
        <f>#REF!</f>
        <v>#REF!</v>
      </c>
      <c r="Z52" s="5" t="e">
        <f>#REF!</f>
        <v>#REF!</v>
      </c>
      <c r="AA52" s="6">
        <f>№1!Q57</f>
        <v>-1.1E-5</v>
      </c>
      <c r="AB52" s="6" t="e">
        <f>#REF!</f>
        <v>#REF!</v>
      </c>
      <c r="AC52" s="6" t="e">
        <f>#REF!</f>
        <v>#REF!</v>
      </c>
      <c r="AD52" s="6" t="e">
        <f>#REF!</f>
        <v>#REF!</v>
      </c>
      <c r="AE52" s="6" t="e">
        <f>#REF!</f>
        <v>#REF!</v>
      </c>
      <c r="AF52" s="6" t="e">
        <f>#REF!</f>
        <v>#REF!</v>
      </c>
      <c r="AG52" s="6" t="e">
        <f>#REF!</f>
        <v>#REF!</v>
      </c>
      <c r="AH52" s="6" t="e">
        <f>#REF!</f>
        <v>#REF!</v>
      </c>
      <c r="AI52" s="5">
        <f>№1!S57</f>
        <v>21.991157000000001</v>
      </c>
      <c r="AJ52" s="5" t="e">
        <f>#REF!</f>
        <v>#REF!</v>
      </c>
      <c r="AK52" s="5" t="e">
        <f>#REF!</f>
        <v>#REF!</v>
      </c>
      <c r="AL52" s="5" t="e">
        <f>#REF!</f>
        <v>#REF!</v>
      </c>
      <c r="AM52" s="5" t="e">
        <f>#REF!</f>
        <v>#REF!</v>
      </c>
      <c r="AN52" s="5" t="e">
        <f>#REF!</f>
        <v>#REF!</v>
      </c>
      <c r="AO52" s="5" t="e">
        <f>#REF!</f>
        <v>#REF!</v>
      </c>
      <c r="AP52" s="5" t="e">
        <f>#REF!</f>
        <v>#REF!</v>
      </c>
      <c r="AQ52" s="6">
        <f>№1!T57</f>
        <v>215.04825563125652</v>
      </c>
      <c r="AR52" s="6" t="e">
        <f>#REF!</f>
        <v>#REF!</v>
      </c>
      <c r="AS52" s="6" t="e">
        <f>#REF!</f>
        <v>#REF!</v>
      </c>
      <c r="AT52" s="6" t="e">
        <f>#REF!</f>
        <v>#REF!</v>
      </c>
      <c r="AU52" s="6" t="e">
        <f>#REF!</f>
        <v>#REF!</v>
      </c>
      <c r="AV52" s="6" t="e">
        <f>#REF!</f>
        <v>#REF!</v>
      </c>
      <c r="AW52" s="6" t="e">
        <f>#REF!</f>
        <v>#REF!</v>
      </c>
      <c r="AX52" s="6" t="e">
        <f>#REF!</f>
        <v>#REF!</v>
      </c>
    </row>
    <row r="53" spans="1:50" x14ac:dyDescent="0.25">
      <c r="A53" s="3" t="e">
        <f>#REF!</f>
        <v>#REF!</v>
      </c>
      <c r="B53" s="4" t="e">
        <f t="shared" si="6"/>
        <v>#REF!</v>
      </c>
      <c r="C53" s="5">
        <f>№1!U58</f>
        <v>10.130512109020886</v>
      </c>
      <c r="D53" s="5" t="e">
        <f>#REF!</f>
        <v>#REF!</v>
      </c>
      <c r="E53" s="5" t="e">
        <f>#REF!</f>
        <v>#REF!</v>
      </c>
      <c r="F53" s="5" t="e">
        <f>#REF!</f>
        <v>#REF!</v>
      </c>
      <c r="G53" s="5" t="e">
        <f>#REF!</f>
        <v>#REF!</v>
      </c>
      <c r="H53" s="5" t="e">
        <f>#REF!</f>
        <v>#REF!</v>
      </c>
      <c r="I53" s="5" t="e">
        <f>#REF!</f>
        <v>#REF!</v>
      </c>
      <c r="J53" s="5" t="e">
        <f>#REF!</f>
        <v>#REF!</v>
      </c>
      <c r="K53" s="6">
        <f>№1!P58</f>
        <v>40.056314</v>
      </c>
      <c r="L53" s="6" t="e">
        <f>#REF!</f>
        <v>#REF!</v>
      </c>
      <c r="M53" s="6" t="e">
        <f>#REF!</f>
        <v>#REF!</v>
      </c>
      <c r="N53" s="6" t="e">
        <f>#REF!</f>
        <v>#REF!</v>
      </c>
      <c r="O53" s="6" t="e">
        <f>#REF!</f>
        <v>#REF!</v>
      </c>
      <c r="P53" s="6" t="e">
        <f>#REF!</f>
        <v>#REF!</v>
      </c>
      <c r="Q53" s="6" t="e">
        <f>#REF!</f>
        <v>#REF!</v>
      </c>
      <c r="R53" s="6" t="e">
        <f>#REF!</f>
        <v>#REF!</v>
      </c>
      <c r="S53" s="5">
        <f>№1!R58</f>
        <v>0.17355300000000001</v>
      </c>
      <c r="T53" s="5" t="e">
        <f>#REF!</f>
        <v>#REF!</v>
      </c>
      <c r="U53" s="5" t="e">
        <f>#REF!</f>
        <v>#REF!</v>
      </c>
      <c r="V53" s="5" t="e">
        <f>#REF!</f>
        <v>#REF!</v>
      </c>
      <c r="W53" s="5" t="e">
        <f>#REF!</f>
        <v>#REF!</v>
      </c>
      <c r="X53" s="5" t="e">
        <f>#REF!</f>
        <v>#REF!</v>
      </c>
      <c r="Y53" s="5" t="e">
        <f>#REF!</f>
        <v>#REF!</v>
      </c>
      <c r="Z53" s="5" t="e">
        <f>#REF!</f>
        <v>#REF!</v>
      </c>
      <c r="AA53" s="6">
        <f>№1!Q58</f>
        <v>-3.6400000000000001E-4</v>
      </c>
      <c r="AB53" s="6" t="e">
        <f>#REF!</f>
        <v>#REF!</v>
      </c>
      <c r="AC53" s="6" t="e">
        <f>#REF!</f>
        <v>#REF!</v>
      </c>
      <c r="AD53" s="6" t="e">
        <f>#REF!</f>
        <v>#REF!</v>
      </c>
      <c r="AE53" s="6" t="e">
        <f>#REF!</f>
        <v>#REF!</v>
      </c>
      <c r="AF53" s="6" t="e">
        <f>#REF!</f>
        <v>#REF!</v>
      </c>
      <c r="AG53" s="6" t="e">
        <f>#REF!</f>
        <v>#REF!</v>
      </c>
      <c r="AH53" s="6" t="e">
        <f>#REF!</f>
        <v>#REF!</v>
      </c>
      <c r="AI53" s="5">
        <f>№1!S58</f>
        <v>22.056314</v>
      </c>
      <c r="AJ53" s="5" t="e">
        <f>#REF!</f>
        <v>#REF!</v>
      </c>
      <c r="AK53" s="5" t="e">
        <f>#REF!</f>
        <v>#REF!</v>
      </c>
      <c r="AL53" s="5" t="e">
        <f>#REF!</f>
        <v>#REF!</v>
      </c>
      <c r="AM53" s="5" t="e">
        <f>#REF!</f>
        <v>#REF!</v>
      </c>
      <c r="AN53" s="5" t="e">
        <f>#REF!</f>
        <v>#REF!</v>
      </c>
      <c r="AO53" s="5" t="e">
        <f>#REF!</f>
        <v>#REF!</v>
      </c>
      <c r="AP53" s="5" t="e">
        <f>#REF!</f>
        <v>#REF!</v>
      </c>
      <c r="AQ53" s="6">
        <f>№1!T58</f>
        <v>207.17048095174027</v>
      </c>
      <c r="AR53" s="6" t="e">
        <f>#REF!</f>
        <v>#REF!</v>
      </c>
      <c r="AS53" s="6" t="e">
        <f>#REF!</f>
        <v>#REF!</v>
      </c>
      <c r="AT53" s="6" t="e">
        <f>#REF!</f>
        <v>#REF!</v>
      </c>
      <c r="AU53" s="6" t="e">
        <f>#REF!</f>
        <v>#REF!</v>
      </c>
      <c r="AV53" s="6" t="e">
        <f>#REF!</f>
        <v>#REF!</v>
      </c>
      <c r="AW53" s="6" t="e">
        <f>#REF!</f>
        <v>#REF!</v>
      </c>
      <c r="AX53" s="6" t="e">
        <f>#REF!</f>
        <v>#REF!</v>
      </c>
    </row>
    <row r="54" spans="1:50" x14ac:dyDescent="0.25">
      <c r="A54" s="4" t="e">
        <f>#REF!</f>
        <v>#REF!</v>
      </c>
      <c r="B54" s="4" t="e">
        <f t="shared" si="6"/>
        <v>#REF!</v>
      </c>
      <c r="C54" s="5">
        <f>№1!U59</f>
        <v>10.048594011754268</v>
      </c>
      <c r="D54" s="5" t="e">
        <f>#REF!</f>
        <v>#REF!</v>
      </c>
      <c r="E54" s="5" t="e">
        <f>#REF!</f>
        <v>#REF!</v>
      </c>
      <c r="F54" s="5" t="e">
        <f>#REF!</f>
        <v>#REF!</v>
      </c>
      <c r="G54" s="5" t="e">
        <f>#REF!</f>
        <v>#REF!</v>
      </c>
      <c r="H54" s="5" t="e">
        <f>#REF!</f>
        <v>#REF!</v>
      </c>
      <c r="I54" s="5" t="e">
        <f>#REF!</f>
        <v>#REF!</v>
      </c>
      <c r="J54" s="5" t="e">
        <f>#REF!</f>
        <v>#REF!</v>
      </c>
      <c r="K54" s="6">
        <f>№1!P59</f>
        <v>40.021053000000002</v>
      </c>
      <c r="L54" s="6" t="e">
        <f>#REF!</f>
        <v>#REF!</v>
      </c>
      <c r="M54" s="6" t="e">
        <f>#REF!</f>
        <v>#REF!</v>
      </c>
      <c r="N54" s="6" t="e">
        <f>#REF!</f>
        <v>#REF!</v>
      </c>
      <c r="O54" s="6" t="e">
        <f>#REF!</f>
        <v>#REF!</v>
      </c>
      <c r="P54" s="6" t="e">
        <f>#REF!</f>
        <v>#REF!</v>
      </c>
      <c r="Q54" s="6" t="e">
        <f>#REF!</f>
        <v>#REF!</v>
      </c>
      <c r="R54" s="6" t="e">
        <f>#REF!</f>
        <v>#REF!</v>
      </c>
      <c r="S54" s="5">
        <f>№1!R59</f>
        <v>0.177815</v>
      </c>
      <c r="T54" s="5" t="e">
        <f>#REF!</f>
        <v>#REF!</v>
      </c>
      <c r="U54" s="5" t="e">
        <f>#REF!</f>
        <v>#REF!</v>
      </c>
      <c r="V54" s="5" t="e">
        <f>#REF!</f>
        <v>#REF!</v>
      </c>
      <c r="W54" s="5" t="e">
        <f>#REF!</f>
        <v>#REF!</v>
      </c>
      <c r="X54" s="5" t="e">
        <f>#REF!</f>
        <v>#REF!</v>
      </c>
      <c r="Y54" s="5" t="e">
        <f>#REF!</f>
        <v>#REF!</v>
      </c>
      <c r="Z54" s="5" t="e">
        <f>#REF!</f>
        <v>#REF!</v>
      </c>
      <c r="AA54" s="6">
        <f>№1!Q59</f>
        <v>-6.0999999999999997E-4</v>
      </c>
      <c r="AB54" s="6" t="e">
        <f>#REF!</f>
        <v>#REF!</v>
      </c>
      <c r="AC54" s="6" t="e">
        <f>#REF!</f>
        <v>#REF!</v>
      </c>
      <c r="AD54" s="6" t="e">
        <f>#REF!</f>
        <v>#REF!</v>
      </c>
      <c r="AE54" s="6" t="e">
        <f>#REF!</f>
        <v>#REF!</v>
      </c>
      <c r="AF54" s="6" t="e">
        <f>#REF!</f>
        <v>#REF!</v>
      </c>
      <c r="AG54" s="6" t="e">
        <f>#REF!</f>
        <v>#REF!</v>
      </c>
      <c r="AH54" s="6" t="e">
        <f>#REF!</f>
        <v>#REF!</v>
      </c>
      <c r="AI54" s="5">
        <f>№1!S59</f>
        <v>22.021052999999998</v>
      </c>
      <c r="AJ54" s="5" t="e">
        <f>#REF!</f>
        <v>#REF!</v>
      </c>
      <c r="AK54" s="5" t="e">
        <f>#REF!</f>
        <v>#REF!</v>
      </c>
      <c r="AL54" s="5" t="e">
        <f>#REF!</f>
        <v>#REF!</v>
      </c>
      <c r="AM54" s="5" t="e">
        <f>#REF!</f>
        <v>#REF!</v>
      </c>
      <c r="AN54" s="5" t="e">
        <f>#REF!</f>
        <v>#REF!</v>
      </c>
      <c r="AO54" s="5" t="e">
        <f>#REF!</f>
        <v>#REF!</v>
      </c>
      <c r="AP54" s="5" t="e">
        <f>#REF!</f>
        <v>#REF!</v>
      </c>
      <c r="AQ54" s="6">
        <f>№1!T59</f>
        <v>200.55953573951757</v>
      </c>
      <c r="AR54" s="6" t="e">
        <f>#REF!</f>
        <v>#REF!</v>
      </c>
      <c r="AS54" s="6" t="e">
        <f>#REF!</f>
        <v>#REF!</v>
      </c>
      <c r="AT54" s="6" t="e">
        <f>#REF!</f>
        <v>#REF!</v>
      </c>
      <c r="AU54" s="6" t="e">
        <f>#REF!</f>
        <v>#REF!</v>
      </c>
      <c r="AV54" s="6" t="e">
        <f>#REF!</f>
        <v>#REF!</v>
      </c>
      <c r="AW54" s="6" t="e">
        <f>#REF!</f>
        <v>#REF!</v>
      </c>
      <c r="AX54" s="6" t="e">
        <f>#REF!</f>
        <v>#REF!</v>
      </c>
    </row>
    <row r="55" spans="1:50" x14ac:dyDescent="0.25">
      <c r="A55" s="3" t="e">
        <f>#REF!</f>
        <v>#REF!</v>
      </c>
      <c r="B55" s="4" t="e">
        <f t="shared" si="6"/>
        <v>#REF!</v>
      </c>
      <c r="C55" s="5">
        <f>№1!U60</f>
        <v>9.7034148686481529</v>
      </c>
      <c r="D55" s="5" t="e">
        <f>#REF!</f>
        <v>#REF!</v>
      </c>
      <c r="E55" s="5" t="e">
        <f>#REF!</f>
        <v>#REF!</v>
      </c>
      <c r="F55" s="5" t="e">
        <f>#REF!</f>
        <v>#REF!</v>
      </c>
      <c r="G55" s="5" t="e">
        <f>#REF!</f>
        <v>#REF!</v>
      </c>
      <c r="H55" s="5" t="e">
        <f>#REF!</f>
        <v>#REF!</v>
      </c>
      <c r="I55" s="5" t="e">
        <f>#REF!</f>
        <v>#REF!</v>
      </c>
      <c r="J55" s="5" t="e">
        <f>#REF!</f>
        <v>#REF!</v>
      </c>
      <c r="K55" s="6">
        <f>№1!P60</f>
        <v>39.869245999999997</v>
      </c>
      <c r="L55" s="6" t="e">
        <f>#REF!</f>
        <v>#REF!</v>
      </c>
      <c r="M55" s="6" t="e">
        <f>#REF!</f>
        <v>#REF!</v>
      </c>
      <c r="N55" s="6" t="e">
        <f>#REF!</f>
        <v>#REF!</v>
      </c>
      <c r="O55" s="6" t="e">
        <f>#REF!</f>
        <v>#REF!</v>
      </c>
      <c r="P55" s="6" t="e">
        <f>#REF!</f>
        <v>#REF!</v>
      </c>
      <c r="Q55" s="6" t="e">
        <f>#REF!</f>
        <v>#REF!</v>
      </c>
      <c r="R55" s="6" t="e">
        <f>#REF!</f>
        <v>#REF!</v>
      </c>
      <c r="S55" s="5">
        <f>№1!R60</f>
        <v>0.18196399999999999</v>
      </c>
      <c r="T55" s="5" t="e">
        <f>#REF!</f>
        <v>#REF!</v>
      </c>
      <c r="U55" s="5" t="e">
        <f>#REF!</f>
        <v>#REF!</v>
      </c>
      <c r="V55" s="5" t="e">
        <f>#REF!</f>
        <v>#REF!</v>
      </c>
      <c r="W55" s="5" t="e">
        <f>#REF!</f>
        <v>#REF!</v>
      </c>
      <c r="X55" s="5" t="e">
        <f>#REF!</f>
        <v>#REF!</v>
      </c>
      <c r="Y55" s="5" t="e">
        <f>#REF!</f>
        <v>#REF!</v>
      </c>
      <c r="Z55" s="5" t="e">
        <f>#REF!</f>
        <v>#REF!</v>
      </c>
      <c r="AA55" s="6">
        <f>№1!Q60</f>
        <v>-7.6000000000000004E-5</v>
      </c>
      <c r="AB55" s="6" t="e">
        <f>#REF!</f>
        <v>#REF!</v>
      </c>
      <c r="AC55" s="6" t="e">
        <f>#REF!</f>
        <v>#REF!</v>
      </c>
      <c r="AD55" s="6" t="e">
        <f>#REF!</f>
        <v>#REF!</v>
      </c>
      <c r="AE55" s="6" t="e">
        <f>#REF!</f>
        <v>#REF!</v>
      </c>
      <c r="AF55" s="6" t="e">
        <f>#REF!</f>
        <v>#REF!</v>
      </c>
      <c r="AG55" s="6" t="e">
        <f>#REF!</f>
        <v>#REF!</v>
      </c>
      <c r="AH55" s="6" t="e">
        <f>#REF!</f>
        <v>#REF!</v>
      </c>
      <c r="AI55" s="5">
        <f>№1!S60</f>
        <v>21.869246</v>
      </c>
      <c r="AJ55" s="5" t="e">
        <f>#REF!</f>
        <v>#REF!</v>
      </c>
      <c r="AK55" s="5" t="e">
        <f>#REF!</f>
        <v>#REF!</v>
      </c>
      <c r="AL55" s="5" t="e">
        <f>#REF!</f>
        <v>#REF!</v>
      </c>
      <c r="AM55" s="5" t="e">
        <f>#REF!</f>
        <v>#REF!</v>
      </c>
      <c r="AN55" s="5" t="e">
        <f>#REF!</f>
        <v>#REF!</v>
      </c>
      <c r="AO55" s="5" t="e">
        <f>#REF!</f>
        <v>#REF!</v>
      </c>
      <c r="AP55" s="5" t="e">
        <f>#REF!</f>
        <v>#REF!</v>
      </c>
      <c r="AQ55" s="6">
        <f>№1!T60</f>
        <v>189.21166381026967</v>
      </c>
      <c r="AR55" s="6" t="e">
        <f>#REF!</f>
        <v>#REF!</v>
      </c>
      <c r="AS55" s="6" t="e">
        <f>#REF!</f>
        <v>#REF!</v>
      </c>
      <c r="AT55" s="6" t="e">
        <f>#REF!</f>
        <v>#REF!</v>
      </c>
      <c r="AU55" s="6" t="e">
        <f>#REF!</f>
        <v>#REF!</v>
      </c>
      <c r="AV55" s="6" t="e">
        <f>#REF!</f>
        <v>#REF!</v>
      </c>
      <c r="AW55" s="6" t="e">
        <f>#REF!</f>
        <v>#REF!</v>
      </c>
      <c r="AX55" s="6" t="e">
        <f>#REF!</f>
        <v>#REF!</v>
      </c>
    </row>
    <row r="56" spans="1:50" x14ac:dyDescent="0.25">
      <c r="A56" s="4" t="e">
        <f>#REF!</f>
        <v>#REF!</v>
      </c>
      <c r="B56" s="4" t="e">
        <f t="shared" si="6"/>
        <v>#REF!</v>
      </c>
      <c r="C56" s="5">
        <f>№1!U61</f>
        <v>9.5851452850170809</v>
      </c>
      <c r="D56" s="5" t="e">
        <f>#REF!</f>
        <v>#REF!</v>
      </c>
      <c r="E56" s="5" t="e">
        <f>#REF!</f>
        <v>#REF!</v>
      </c>
      <c r="F56" s="5" t="e">
        <f>#REF!</f>
        <v>#REF!</v>
      </c>
      <c r="G56" s="5" t="e">
        <f>#REF!</f>
        <v>#REF!</v>
      </c>
      <c r="H56" s="5" t="e">
        <f>#REF!</f>
        <v>#REF!</v>
      </c>
      <c r="I56" s="5" t="e">
        <f>#REF!</f>
        <v>#REF!</v>
      </c>
      <c r="J56" s="5" t="e">
        <f>#REF!</f>
        <v>#REF!</v>
      </c>
      <c r="K56" s="6">
        <f>№1!P61</f>
        <v>39.815987</v>
      </c>
      <c r="L56" s="6" t="e">
        <f>#REF!</f>
        <v>#REF!</v>
      </c>
      <c r="M56" s="6" t="e">
        <f>#REF!</f>
        <v>#REF!</v>
      </c>
      <c r="N56" s="6" t="e">
        <f>#REF!</f>
        <v>#REF!</v>
      </c>
      <c r="O56" s="6" t="e">
        <f>#REF!</f>
        <v>#REF!</v>
      </c>
      <c r="P56" s="6" t="e">
        <f>#REF!</f>
        <v>#REF!</v>
      </c>
      <c r="Q56" s="6" t="e">
        <f>#REF!</f>
        <v>#REF!</v>
      </c>
      <c r="R56" s="6" t="e">
        <f>#REF!</f>
        <v>#REF!</v>
      </c>
      <c r="S56" s="5">
        <f>№1!R61</f>
        <v>0.185282</v>
      </c>
      <c r="T56" s="5" t="e">
        <f>#REF!</f>
        <v>#REF!</v>
      </c>
      <c r="U56" s="5" t="e">
        <f>#REF!</f>
        <v>#REF!</v>
      </c>
      <c r="V56" s="5" t="e">
        <f>#REF!</f>
        <v>#REF!</v>
      </c>
      <c r="W56" s="5" t="e">
        <f>#REF!</f>
        <v>#REF!</v>
      </c>
      <c r="X56" s="5" t="e">
        <f>#REF!</f>
        <v>#REF!</v>
      </c>
      <c r="Y56" s="5" t="e">
        <f>#REF!</f>
        <v>#REF!</v>
      </c>
      <c r="Z56" s="5" t="e">
        <f>#REF!</f>
        <v>#REF!</v>
      </c>
      <c r="AA56" s="6">
        <f>№1!Q61</f>
        <v>-1.27E-4</v>
      </c>
      <c r="AB56" s="6" t="e">
        <f>#REF!</f>
        <v>#REF!</v>
      </c>
      <c r="AC56" s="6" t="e">
        <f>#REF!</f>
        <v>#REF!</v>
      </c>
      <c r="AD56" s="6" t="e">
        <f>#REF!</f>
        <v>#REF!</v>
      </c>
      <c r="AE56" s="6" t="e">
        <f>#REF!</f>
        <v>#REF!</v>
      </c>
      <c r="AF56" s="6" t="e">
        <f>#REF!</f>
        <v>#REF!</v>
      </c>
      <c r="AG56" s="6" t="e">
        <f>#REF!</f>
        <v>#REF!</v>
      </c>
      <c r="AH56" s="6" t="e">
        <f>#REF!</f>
        <v>#REF!</v>
      </c>
      <c r="AI56" s="5">
        <f>№1!S61</f>
        <v>21.815987</v>
      </c>
      <c r="AJ56" s="5" t="e">
        <f>#REF!</f>
        <v>#REF!</v>
      </c>
      <c r="AK56" s="5" t="e">
        <f>#REF!</f>
        <v>#REF!</v>
      </c>
      <c r="AL56" s="5" t="e">
        <f>#REF!</f>
        <v>#REF!</v>
      </c>
      <c r="AM56" s="5" t="e">
        <f>#REF!</f>
        <v>#REF!</v>
      </c>
      <c r="AN56" s="5" t="e">
        <f>#REF!</f>
        <v>#REF!</v>
      </c>
      <c r="AO56" s="5" t="e">
        <f>#REF!</f>
        <v>#REF!</v>
      </c>
      <c r="AP56" s="5" t="e">
        <f>#REF!</f>
        <v>#REF!</v>
      </c>
      <c r="AQ56" s="6">
        <f>№1!T61</f>
        <v>183.54357046804836</v>
      </c>
      <c r="AR56" s="6" t="e">
        <f>#REF!</f>
        <v>#REF!</v>
      </c>
      <c r="AS56" s="6" t="e">
        <f>#REF!</f>
        <v>#REF!</v>
      </c>
      <c r="AT56" s="6" t="e">
        <f>#REF!</f>
        <v>#REF!</v>
      </c>
      <c r="AU56" s="6" t="e">
        <f>#REF!</f>
        <v>#REF!</v>
      </c>
      <c r="AV56" s="6" t="e">
        <f>#REF!</f>
        <v>#REF!</v>
      </c>
      <c r="AW56" s="6" t="e">
        <f>#REF!</f>
        <v>#REF!</v>
      </c>
      <c r="AX56" s="6" t="e">
        <f>#REF!</f>
        <v>#REF!</v>
      </c>
    </row>
    <row r="57" spans="1:50" x14ac:dyDescent="0.25">
      <c r="A57" s="3" t="e">
        <f>#REF!</f>
        <v>#REF!</v>
      </c>
      <c r="B57" s="4" t="e">
        <f t="shared" si="6"/>
        <v>#REF!</v>
      </c>
      <c r="C57" s="5">
        <f>№1!U62</f>
        <v>9.4589798431968344</v>
      </c>
      <c r="D57" s="5" t="e">
        <f>#REF!</f>
        <v>#REF!</v>
      </c>
      <c r="E57" s="5" t="e">
        <f>#REF!</f>
        <v>#REF!</v>
      </c>
      <c r="F57" s="5" t="e">
        <f>#REF!</f>
        <v>#REF!</v>
      </c>
      <c r="G57" s="5" t="e">
        <f>#REF!</f>
        <v>#REF!</v>
      </c>
      <c r="H57" s="5" t="e">
        <f>#REF!</f>
        <v>#REF!</v>
      </c>
      <c r="I57" s="5" t="e">
        <f>#REF!</f>
        <v>#REF!</v>
      </c>
      <c r="J57" s="5" t="e">
        <f>#REF!</f>
        <v>#REF!</v>
      </c>
      <c r="K57" s="6">
        <f>№1!P62</f>
        <v>39.758443</v>
      </c>
      <c r="L57" s="6" t="e">
        <f>#REF!</f>
        <v>#REF!</v>
      </c>
      <c r="M57" s="6" t="e">
        <f>#REF!</f>
        <v>#REF!</v>
      </c>
      <c r="N57" s="6" t="e">
        <f>#REF!</f>
        <v>#REF!</v>
      </c>
      <c r="O57" s="6" t="e">
        <f>#REF!</f>
        <v>#REF!</v>
      </c>
      <c r="P57" s="6" t="e">
        <f>#REF!</f>
        <v>#REF!</v>
      </c>
      <c r="Q57" s="6" t="e">
        <f>#REF!</f>
        <v>#REF!</v>
      </c>
      <c r="R57" s="6" t="e">
        <f>#REF!</f>
        <v>#REF!</v>
      </c>
      <c r="S57" s="5">
        <f>№1!R62</f>
        <v>0.18737999999999999</v>
      </c>
      <c r="T57" s="5" t="e">
        <f>#REF!</f>
        <v>#REF!</v>
      </c>
      <c r="U57" s="5" t="e">
        <f>#REF!</f>
        <v>#REF!</v>
      </c>
      <c r="V57" s="5" t="e">
        <f>#REF!</f>
        <v>#REF!</v>
      </c>
      <c r="W57" s="5" t="e">
        <f>#REF!</f>
        <v>#REF!</v>
      </c>
      <c r="X57" s="5" t="e">
        <f>#REF!</f>
        <v>#REF!</v>
      </c>
      <c r="Y57" s="5" t="e">
        <f>#REF!</f>
        <v>#REF!</v>
      </c>
      <c r="Z57" s="5" t="e">
        <f>#REF!</f>
        <v>#REF!</v>
      </c>
      <c r="AA57" s="6">
        <f>№1!Q62</f>
        <v>-1.5699999999999999E-4</v>
      </c>
      <c r="AB57" s="6" t="e">
        <f>#REF!</f>
        <v>#REF!</v>
      </c>
      <c r="AC57" s="6" t="e">
        <f>#REF!</f>
        <v>#REF!</v>
      </c>
      <c r="AD57" s="6" t="e">
        <f>#REF!</f>
        <v>#REF!</v>
      </c>
      <c r="AE57" s="6" t="e">
        <f>#REF!</f>
        <v>#REF!</v>
      </c>
      <c r="AF57" s="6" t="e">
        <f>#REF!</f>
        <v>#REF!</v>
      </c>
      <c r="AG57" s="6" t="e">
        <f>#REF!</f>
        <v>#REF!</v>
      </c>
      <c r="AH57" s="6" t="e">
        <f>#REF!</f>
        <v>#REF!</v>
      </c>
      <c r="AI57" s="5">
        <f>№1!S62</f>
        <v>21.758443</v>
      </c>
      <c r="AJ57" s="5" t="e">
        <f>#REF!</f>
        <v>#REF!</v>
      </c>
      <c r="AK57" s="5" t="e">
        <f>#REF!</f>
        <v>#REF!</v>
      </c>
      <c r="AL57" s="5" t="e">
        <f>#REF!</f>
        <v>#REF!</v>
      </c>
      <c r="AM57" s="5" t="e">
        <f>#REF!</f>
        <v>#REF!</v>
      </c>
      <c r="AN57" s="5" t="e">
        <f>#REF!</f>
        <v>#REF!</v>
      </c>
      <c r="AO57" s="5" t="e">
        <f>#REF!</f>
        <v>#REF!</v>
      </c>
      <c r="AP57" s="5" t="e">
        <f>#REF!</f>
        <v>#REF!</v>
      </c>
      <c r="AQ57" s="6">
        <f>№1!T62</f>
        <v>179.08383477327996</v>
      </c>
      <c r="AR57" s="6" t="e">
        <f>#REF!</f>
        <v>#REF!</v>
      </c>
      <c r="AS57" s="6" t="e">
        <f>#REF!</f>
        <v>#REF!</v>
      </c>
      <c r="AT57" s="6" t="e">
        <f>#REF!</f>
        <v>#REF!</v>
      </c>
      <c r="AU57" s="6" t="e">
        <f>#REF!</f>
        <v>#REF!</v>
      </c>
      <c r="AV57" s="6" t="e">
        <f>#REF!</f>
        <v>#REF!</v>
      </c>
      <c r="AW57" s="6" t="e">
        <f>#REF!</f>
        <v>#REF!</v>
      </c>
      <c r="AX57" s="6" t="e">
        <f>#REF!</f>
        <v>#REF!</v>
      </c>
    </row>
    <row r="58" spans="1:50" x14ac:dyDescent="0.25">
      <c r="A58" s="4" t="e">
        <f>#REF!</f>
        <v>#REF!</v>
      </c>
      <c r="B58" s="4" t="e">
        <f t="shared" si="6"/>
        <v>#REF!</v>
      </c>
      <c r="C58" s="5">
        <f>№1!U63</f>
        <v>9.824752077709201</v>
      </c>
      <c r="D58" s="5" t="e">
        <f>#REF!</f>
        <v>#REF!</v>
      </c>
      <c r="E58" s="5" t="e">
        <f>#REF!</f>
        <v>#REF!</v>
      </c>
      <c r="F58" s="5" t="e">
        <f>#REF!</f>
        <v>#REF!</v>
      </c>
      <c r="G58" s="5" t="e">
        <f>#REF!</f>
        <v>#REF!</v>
      </c>
      <c r="H58" s="5" t="e">
        <f>#REF!</f>
        <v>#REF!</v>
      </c>
      <c r="I58" s="5" t="e">
        <f>#REF!</f>
        <v>#REF!</v>
      </c>
      <c r="J58" s="5" t="e">
        <f>#REF!</f>
        <v>#REF!</v>
      </c>
      <c r="K58" s="6">
        <f>№1!P63</f>
        <v>39.923215999999996</v>
      </c>
      <c r="L58" s="6" t="e">
        <f>#REF!</f>
        <v>#REF!</v>
      </c>
      <c r="M58" s="6" t="e">
        <f>#REF!</f>
        <v>#REF!</v>
      </c>
      <c r="N58" s="6" t="e">
        <f>#REF!</f>
        <v>#REF!</v>
      </c>
      <c r="O58" s="6" t="e">
        <f>#REF!</f>
        <v>#REF!</v>
      </c>
      <c r="P58" s="6" t="e">
        <f>#REF!</f>
        <v>#REF!</v>
      </c>
      <c r="Q58" s="6" t="e">
        <f>#REF!</f>
        <v>#REF!</v>
      </c>
      <c r="R58" s="6" t="e">
        <f>#REF!</f>
        <v>#REF!</v>
      </c>
      <c r="S58" s="5">
        <f>№1!R63</f>
        <v>0.18690499999999999</v>
      </c>
      <c r="T58" s="5" t="e">
        <f>#REF!</f>
        <v>#REF!</v>
      </c>
      <c r="U58" s="5" t="e">
        <f>#REF!</f>
        <v>#REF!</v>
      </c>
      <c r="V58" s="5" t="e">
        <f>#REF!</f>
        <v>#REF!</v>
      </c>
      <c r="W58" s="5" t="e">
        <f>#REF!</f>
        <v>#REF!</v>
      </c>
      <c r="X58" s="5" t="e">
        <f>#REF!</f>
        <v>#REF!</v>
      </c>
      <c r="Y58" s="5" t="e">
        <f>#REF!</f>
        <v>#REF!</v>
      </c>
      <c r="Z58" s="5" t="e">
        <f>#REF!</f>
        <v>#REF!</v>
      </c>
      <c r="AA58" s="6">
        <f>№1!Q63</f>
        <v>-6.2500000000000001E-4</v>
      </c>
      <c r="AB58" s="6" t="e">
        <f>#REF!</f>
        <v>#REF!</v>
      </c>
      <c r="AC58" s="6" t="e">
        <f>#REF!</f>
        <v>#REF!</v>
      </c>
      <c r="AD58" s="6" t="e">
        <f>#REF!</f>
        <v>#REF!</v>
      </c>
      <c r="AE58" s="6" t="e">
        <f>#REF!</f>
        <v>#REF!</v>
      </c>
      <c r="AF58" s="6" t="e">
        <f>#REF!</f>
        <v>#REF!</v>
      </c>
      <c r="AG58" s="6" t="e">
        <f>#REF!</f>
        <v>#REF!</v>
      </c>
      <c r="AH58" s="6" t="e">
        <f>#REF!</f>
        <v>#REF!</v>
      </c>
      <c r="AI58" s="5">
        <f>№1!S63</f>
        <v>21.923216</v>
      </c>
      <c r="AJ58" s="5" t="e">
        <f>#REF!</f>
        <v>#REF!</v>
      </c>
      <c r="AK58" s="5" t="e">
        <f>#REF!</f>
        <v>#REF!</v>
      </c>
      <c r="AL58" s="5" t="e">
        <f>#REF!</f>
        <v>#REF!</v>
      </c>
      <c r="AM58" s="5" t="e">
        <f>#REF!</f>
        <v>#REF!</v>
      </c>
      <c r="AN58" s="5" t="e">
        <f>#REF!</f>
        <v>#REF!</v>
      </c>
      <c r="AO58" s="5" t="e">
        <f>#REF!</f>
        <v>#REF!</v>
      </c>
      <c r="AP58" s="5" t="e">
        <f>#REF!</f>
        <v>#REF!</v>
      </c>
      <c r="AQ58" s="6">
        <f>№1!T63</f>
        <v>186.52822754228049</v>
      </c>
      <c r="AR58" s="6" t="e">
        <f>#REF!</f>
        <v>#REF!</v>
      </c>
      <c r="AS58" s="6" t="e">
        <f>#REF!</f>
        <v>#REF!</v>
      </c>
      <c r="AT58" s="6" t="e">
        <f>#REF!</f>
        <v>#REF!</v>
      </c>
      <c r="AU58" s="6" t="e">
        <f>#REF!</f>
        <v>#REF!</v>
      </c>
      <c r="AV58" s="6" t="e">
        <f>#REF!</f>
        <v>#REF!</v>
      </c>
      <c r="AW58" s="6" t="e">
        <f>#REF!</f>
        <v>#REF!</v>
      </c>
      <c r="AX58" s="6" t="e">
        <f>#REF!</f>
        <v>#REF!</v>
      </c>
    </row>
    <row r="59" spans="1:50" x14ac:dyDescent="0.25">
      <c r="A59" s="3" t="e">
        <f>#REF!</f>
        <v>#REF!</v>
      </c>
      <c r="B59" s="4" t="e">
        <f t="shared" si="6"/>
        <v>#REF!</v>
      </c>
      <c r="C59" s="5">
        <f>№1!U64</f>
        <v>10.014060249512765</v>
      </c>
      <c r="D59" s="5" t="e">
        <f>#REF!</f>
        <v>#REF!</v>
      </c>
      <c r="E59" s="5" t="e">
        <f>#REF!</f>
        <v>#REF!</v>
      </c>
      <c r="F59" s="5" t="e">
        <f>#REF!</f>
        <v>#REF!</v>
      </c>
      <c r="G59" s="5" t="e">
        <f>#REF!</f>
        <v>#REF!</v>
      </c>
      <c r="H59" s="5" t="e">
        <f>#REF!</f>
        <v>#REF!</v>
      </c>
      <c r="I59" s="5" t="e">
        <f>#REF!</f>
        <v>#REF!</v>
      </c>
      <c r="J59" s="5" t="e">
        <f>#REF!</f>
        <v>#REF!</v>
      </c>
      <c r="K59" s="6">
        <f>№1!P64</f>
        <v>40.006101999999998</v>
      </c>
      <c r="L59" s="6" t="e">
        <f>#REF!</f>
        <v>#REF!</v>
      </c>
      <c r="M59" s="6" t="e">
        <f>#REF!</f>
        <v>#REF!</v>
      </c>
      <c r="N59" s="6" t="e">
        <f>#REF!</f>
        <v>#REF!</v>
      </c>
      <c r="O59" s="6" t="e">
        <f>#REF!</f>
        <v>#REF!</v>
      </c>
      <c r="P59" s="6" t="e">
        <f>#REF!</f>
        <v>#REF!</v>
      </c>
      <c r="Q59" s="6" t="e">
        <f>#REF!</f>
        <v>#REF!</v>
      </c>
      <c r="R59" s="6" t="e">
        <f>#REF!</f>
        <v>#REF!</v>
      </c>
      <c r="S59" s="5">
        <f>№1!R64</f>
        <v>0.184582</v>
      </c>
      <c r="T59" s="5" t="e">
        <f>#REF!</f>
        <v>#REF!</v>
      </c>
      <c r="U59" s="5" t="e">
        <f>#REF!</f>
        <v>#REF!</v>
      </c>
      <c r="V59" s="5" t="e">
        <f>#REF!</f>
        <v>#REF!</v>
      </c>
      <c r="W59" s="5" t="e">
        <f>#REF!</f>
        <v>#REF!</v>
      </c>
      <c r="X59" s="5" t="e">
        <f>#REF!</f>
        <v>#REF!</v>
      </c>
      <c r="Y59" s="5" t="e">
        <f>#REF!</f>
        <v>#REF!</v>
      </c>
      <c r="Z59" s="5" t="e">
        <f>#REF!</f>
        <v>#REF!</v>
      </c>
      <c r="AA59" s="6">
        <f>№1!Q64</f>
        <v>-2.33E-4</v>
      </c>
      <c r="AB59" s="6" t="e">
        <f>#REF!</f>
        <v>#REF!</v>
      </c>
      <c r="AC59" s="6" t="e">
        <f>#REF!</f>
        <v>#REF!</v>
      </c>
      <c r="AD59" s="6" t="e">
        <f>#REF!</f>
        <v>#REF!</v>
      </c>
      <c r="AE59" s="6" t="e">
        <f>#REF!</f>
        <v>#REF!</v>
      </c>
      <c r="AF59" s="6" t="e">
        <f>#REF!</f>
        <v>#REF!</v>
      </c>
      <c r="AG59" s="6" t="e">
        <f>#REF!</f>
        <v>#REF!</v>
      </c>
      <c r="AH59" s="6" t="e">
        <f>#REF!</f>
        <v>#REF!</v>
      </c>
      <c r="AI59" s="5">
        <f>№1!S64</f>
        <v>22.006101999999998</v>
      </c>
      <c r="AJ59" s="5" t="e">
        <f>#REF!</f>
        <v>#REF!</v>
      </c>
      <c r="AK59" s="5" t="e">
        <f>#REF!</f>
        <v>#REF!</v>
      </c>
      <c r="AL59" s="5" t="e">
        <f>#REF!</f>
        <v>#REF!</v>
      </c>
      <c r="AM59" s="5" t="e">
        <f>#REF!</f>
        <v>#REF!</v>
      </c>
      <c r="AN59" s="5" t="e">
        <f>#REF!</f>
        <v>#REF!</v>
      </c>
      <c r="AO59" s="5" t="e">
        <f>#REF!</f>
        <v>#REF!</v>
      </c>
      <c r="AP59" s="5" t="e">
        <f>#REF!</f>
        <v>#REF!</v>
      </c>
      <c r="AQ59" s="6">
        <f>№1!T64</f>
        <v>192.53859521716143</v>
      </c>
      <c r="AR59" s="6" t="e">
        <f>#REF!</f>
        <v>#REF!</v>
      </c>
      <c r="AS59" s="6" t="e">
        <f>#REF!</f>
        <v>#REF!</v>
      </c>
      <c r="AT59" s="6" t="e">
        <f>#REF!</f>
        <v>#REF!</v>
      </c>
      <c r="AU59" s="6" t="e">
        <f>#REF!</f>
        <v>#REF!</v>
      </c>
      <c r="AV59" s="6" t="e">
        <f>#REF!</f>
        <v>#REF!</v>
      </c>
      <c r="AW59" s="6" t="e">
        <f>#REF!</f>
        <v>#REF!</v>
      </c>
      <c r="AX59" s="6" t="e">
        <f>#REF!</f>
        <v>#REF!</v>
      </c>
    </row>
    <row r="60" spans="1:50" x14ac:dyDescent="0.25">
      <c r="A60" s="4" t="e">
        <f>#REF!</f>
        <v>#REF!</v>
      </c>
      <c r="B60" s="4" t="e">
        <f t="shared" si="6"/>
        <v>#REF!</v>
      </c>
      <c r="C60" s="5">
        <f>№1!U65</f>
        <v>10.053479576535491</v>
      </c>
      <c r="D60" s="5" t="e">
        <f>#REF!</f>
        <v>#REF!</v>
      </c>
      <c r="E60" s="5" t="e">
        <f>#REF!</f>
        <v>#REF!</v>
      </c>
      <c r="F60" s="5" t="e">
        <f>#REF!</f>
        <v>#REF!</v>
      </c>
      <c r="G60" s="5" t="e">
        <f>#REF!</f>
        <v>#REF!</v>
      </c>
      <c r="H60" s="5" t="e">
        <f>#REF!</f>
        <v>#REF!</v>
      </c>
      <c r="I60" s="5" t="e">
        <f>#REF!</f>
        <v>#REF!</v>
      </c>
      <c r="J60" s="5" t="e">
        <f>#REF!</f>
        <v>#REF!</v>
      </c>
      <c r="K60" s="6">
        <f>№1!P65</f>
        <v>40.023164000000001</v>
      </c>
      <c r="L60" s="6" t="e">
        <f>#REF!</f>
        <v>#REF!</v>
      </c>
      <c r="M60" s="6" t="e">
        <f>#REF!</f>
        <v>#REF!</v>
      </c>
      <c r="N60" s="6" t="e">
        <f>#REF!</f>
        <v>#REF!</v>
      </c>
      <c r="O60" s="6" t="e">
        <f>#REF!</f>
        <v>#REF!</v>
      </c>
      <c r="P60" s="6" t="e">
        <f>#REF!</f>
        <v>#REF!</v>
      </c>
      <c r="Q60" s="6" t="e">
        <f>#REF!</f>
        <v>#REF!</v>
      </c>
      <c r="R60" s="6" t="e">
        <f>#REF!</f>
        <v>#REF!</v>
      </c>
      <c r="S60" s="5">
        <f>№1!R65</f>
        <v>0.182477</v>
      </c>
      <c r="T60" s="5" t="e">
        <f>#REF!</f>
        <v>#REF!</v>
      </c>
      <c r="U60" s="5" t="e">
        <f>#REF!</f>
        <v>#REF!</v>
      </c>
      <c r="V60" s="5" t="e">
        <f>#REF!</f>
        <v>#REF!</v>
      </c>
      <c r="W60" s="5" t="e">
        <f>#REF!</f>
        <v>#REF!</v>
      </c>
      <c r="X60" s="5" t="e">
        <f>#REF!</f>
        <v>#REF!</v>
      </c>
      <c r="Y60" s="5" t="e">
        <f>#REF!</f>
        <v>#REF!</v>
      </c>
      <c r="Z60" s="5" t="e">
        <f>#REF!</f>
        <v>#REF!</v>
      </c>
      <c r="AA60" s="6">
        <f>№1!Q65</f>
        <v>3.6999999999999998E-5</v>
      </c>
      <c r="AB60" s="6" t="e">
        <f>#REF!</f>
        <v>#REF!</v>
      </c>
      <c r="AC60" s="6" t="e">
        <f>#REF!</f>
        <v>#REF!</v>
      </c>
      <c r="AD60" s="6" t="e">
        <f>#REF!</f>
        <v>#REF!</v>
      </c>
      <c r="AE60" s="6" t="e">
        <f>#REF!</f>
        <v>#REF!</v>
      </c>
      <c r="AF60" s="6" t="e">
        <f>#REF!</f>
        <v>#REF!</v>
      </c>
      <c r="AG60" s="6" t="e">
        <f>#REF!</f>
        <v>#REF!</v>
      </c>
      <c r="AH60" s="6" t="e">
        <f>#REF!</f>
        <v>#REF!</v>
      </c>
      <c r="AI60" s="5">
        <f>№1!S65</f>
        <v>22.023164000000001</v>
      </c>
      <c r="AJ60" s="5" t="e">
        <f>#REF!</f>
        <v>#REF!</v>
      </c>
      <c r="AK60" s="5" t="e">
        <f>#REF!</f>
        <v>#REF!</v>
      </c>
      <c r="AL60" s="5" t="e">
        <f>#REF!</f>
        <v>#REF!</v>
      </c>
      <c r="AM60" s="5" t="e">
        <f>#REF!</f>
        <v>#REF!</v>
      </c>
      <c r="AN60" s="5" t="e">
        <f>#REF!</f>
        <v>#REF!</v>
      </c>
      <c r="AO60" s="5" t="e">
        <f>#REF!</f>
        <v>#REF!</v>
      </c>
      <c r="AP60" s="5" t="e">
        <f>#REF!</f>
        <v>#REF!</v>
      </c>
      <c r="AQ60" s="6">
        <f>№1!T65</f>
        <v>195.53117539837646</v>
      </c>
      <c r="AR60" s="6" t="e">
        <f>#REF!</f>
        <v>#REF!</v>
      </c>
      <c r="AS60" s="6" t="e">
        <f>#REF!</f>
        <v>#REF!</v>
      </c>
      <c r="AT60" s="6" t="e">
        <f>#REF!</f>
        <v>#REF!</v>
      </c>
      <c r="AU60" s="6" t="e">
        <f>#REF!</f>
        <v>#REF!</v>
      </c>
      <c r="AV60" s="6" t="e">
        <f>#REF!</f>
        <v>#REF!</v>
      </c>
      <c r="AW60" s="6" t="e">
        <f>#REF!</f>
        <v>#REF!</v>
      </c>
      <c r="AX60" s="6" t="e">
        <f>#REF!</f>
        <v>#REF!</v>
      </c>
    </row>
    <row r="61" spans="1:50" x14ac:dyDescent="0.25">
      <c r="A61" s="3" t="e">
        <f>#REF!</f>
        <v>#REF!</v>
      </c>
      <c r="B61" s="4" t="e">
        <f t="shared" si="6"/>
        <v>#REF!</v>
      </c>
      <c r="C61" s="5">
        <f>№1!U66</f>
        <v>9.6910135320959263</v>
      </c>
      <c r="D61" s="5" t="e">
        <f>#REF!</f>
        <v>#REF!</v>
      </c>
      <c r="E61" s="5" t="e">
        <f>#REF!</f>
        <v>#REF!</v>
      </c>
      <c r="F61" s="5" t="e">
        <f>#REF!</f>
        <v>#REF!</v>
      </c>
      <c r="G61" s="5" t="e">
        <f>#REF!</f>
        <v>#REF!</v>
      </c>
      <c r="H61" s="5" t="e">
        <f>#REF!</f>
        <v>#REF!</v>
      </c>
      <c r="I61" s="5" t="e">
        <f>#REF!</f>
        <v>#REF!</v>
      </c>
      <c r="J61" s="5" t="e">
        <f>#REF!</f>
        <v>#REF!</v>
      </c>
      <c r="K61" s="6">
        <f>№1!P66</f>
        <v>39.863692</v>
      </c>
      <c r="L61" s="6" t="e">
        <f>#REF!</f>
        <v>#REF!</v>
      </c>
      <c r="M61" s="6" t="e">
        <f>#REF!</f>
        <v>#REF!</v>
      </c>
      <c r="N61" s="6" t="e">
        <f>#REF!</f>
        <v>#REF!</v>
      </c>
      <c r="O61" s="6" t="e">
        <f>#REF!</f>
        <v>#REF!</v>
      </c>
      <c r="P61" s="6" t="e">
        <f>#REF!</f>
        <v>#REF!</v>
      </c>
      <c r="Q61" s="6" t="e">
        <f>#REF!</f>
        <v>#REF!</v>
      </c>
      <c r="R61" s="6" t="e">
        <f>#REF!</f>
        <v>#REF!</v>
      </c>
      <c r="S61" s="5">
        <f>№1!R66</f>
        <v>0.18162</v>
      </c>
      <c r="T61" s="5" t="e">
        <f>#REF!</f>
        <v>#REF!</v>
      </c>
      <c r="U61" s="5" t="e">
        <f>#REF!</f>
        <v>#REF!</v>
      </c>
      <c r="V61" s="5" t="e">
        <f>#REF!</f>
        <v>#REF!</v>
      </c>
      <c r="W61" s="5" t="e">
        <f>#REF!</f>
        <v>#REF!</v>
      </c>
      <c r="X61" s="5" t="e">
        <f>#REF!</f>
        <v>#REF!</v>
      </c>
      <c r="Y61" s="5" t="e">
        <f>#REF!</f>
        <v>#REF!</v>
      </c>
      <c r="Z61" s="5" t="e">
        <f>#REF!</f>
        <v>#REF!</v>
      </c>
      <c r="AA61" s="6">
        <f>№1!Q66</f>
        <v>2.23E-4</v>
      </c>
      <c r="AB61" s="6" t="e">
        <f>#REF!</f>
        <v>#REF!</v>
      </c>
      <c r="AC61" s="6" t="e">
        <f>#REF!</f>
        <v>#REF!</v>
      </c>
      <c r="AD61" s="6" t="e">
        <f>#REF!</f>
        <v>#REF!</v>
      </c>
      <c r="AE61" s="6" t="e">
        <f>#REF!</f>
        <v>#REF!</v>
      </c>
      <c r="AF61" s="6" t="e">
        <f>#REF!</f>
        <v>#REF!</v>
      </c>
      <c r="AG61" s="6" t="e">
        <f>#REF!</f>
        <v>#REF!</v>
      </c>
      <c r="AH61" s="6" t="e">
        <f>#REF!</f>
        <v>#REF!</v>
      </c>
      <c r="AI61" s="5">
        <f>№1!S66</f>
        <v>21.863692</v>
      </c>
      <c r="AJ61" s="5" t="e">
        <f>#REF!</f>
        <v>#REF!</v>
      </c>
      <c r="AK61" s="5" t="e">
        <f>#REF!</f>
        <v>#REF!</v>
      </c>
      <c r="AL61" s="5" t="e">
        <f>#REF!</f>
        <v>#REF!</v>
      </c>
      <c r="AM61" s="5" t="e">
        <f>#REF!</f>
        <v>#REF!</v>
      </c>
      <c r="AN61" s="5" t="e">
        <f>#REF!</f>
        <v>#REF!</v>
      </c>
      <c r="AO61" s="5" t="e">
        <f>#REF!</f>
        <v>#REF!</v>
      </c>
      <c r="AP61" s="5" t="e">
        <f>#REF!</f>
        <v>#REF!</v>
      </c>
      <c r="AQ61" s="6">
        <f>№1!T66</f>
        <v>189.32617941793518</v>
      </c>
      <c r="AR61" s="6" t="e">
        <f>#REF!</f>
        <v>#REF!</v>
      </c>
      <c r="AS61" s="6" t="e">
        <f>#REF!</f>
        <v>#REF!</v>
      </c>
      <c r="AT61" s="6" t="e">
        <f>#REF!</f>
        <v>#REF!</v>
      </c>
      <c r="AU61" s="6" t="e">
        <f>#REF!</f>
        <v>#REF!</v>
      </c>
      <c r="AV61" s="6" t="e">
        <f>#REF!</f>
        <v>#REF!</v>
      </c>
      <c r="AW61" s="6" t="e">
        <f>#REF!</f>
        <v>#REF!</v>
      </c>
      <c r="AX61" s="6" t="e">
        <f>#REF!</f>
        <v>#REF!</v>
      </c>
    </row>
    <row r="62" spans="1:50" x14ac:dyDescent="0.25">
      <c r="A62" s="4" t="e">
        <f>#REF!</f>
        <v>#REF!</v>
      </c>
      <c r="B62" s="4" t="e">
        <f t="shared" si="6"/>
        <v>#REF!</v>
      </c>
      <c r="C62" s="5">
        <f>№1!U67</f>
        <v>8.8541097312714889</v>
      </c>
      <c r="D62" s="5" t="e">
        <f>#REF!</f>
        <v>#REF!</v>
      </c>
      <c r="E62" s="5" t="e">
        <f>#REF!</f>
        <v>#REF!</v>
      </c>
      <c r="F62" s="5" t="e">
        <f>#REF!</f>
        <v>#REF!</v>
      </c>
      <c r="G62" s="5" t="e">
        <f>#REF!</f>
        <v>#REF!</v>
      </c>
      <c r="H62" s="5" t="e">
        <f>#REF!</f>
        <v>#REF!</v>
      </c>
      <c r="I62" s="5" t="e">
        <f>#REF!</f>
        <v>#REF!</v>
      </c>
      <c r="J62" s="5" t="e">
        <f>#REF!</f>
        <v>#REF!</v>
      </c>
      <c r="K62" s="6">
        <f>№1!P67</f>
        <v>39.471449</v>
      </c>
      <c r="L62" s="6" t="e">
        <f>#REF!</f>
        <v>#REF!</v>
      </c>
      <c r="M62" s="6" t="e">
        <f>#REF!</f>
        <v>#REF!</v>
      </c>
      <c r="N62" s="6" t="e">
        <f>#REF!</f>
        <v>#REF!</v>
      </c>
      <c r="O62" s="6" t="e">
        <f>#REF!</f>
        <v>#REF!</v>
      </c>
      <c r="P62" s="6" t="e">
        <f>#REF!</f>
        <v>#REF!</v>
      </c>
      <c r="Q62" s="6" t="e">
        <f>#REF!</f>
        <v>#REF!</v>
      </c>
      <c r="R62" s="6" t="e">
        <f>#REF!</f>
        <v>#REF!</v>
      </c>
      <c r="S62" s="5">
        <f>№1!R67</f>
        <v>0.17922199999999999</v>
      </c>
      <c r="T62" s="5" t="e">
        <f>#REF!</f>
        <v>#REF!</v>
      </c>
      <c r="U62" s="5" t="e">
        <f>#REF!</f>
        <v>#REF!</v>
      </c>
      <c r="V62" s="5" t="e">
        <f>#REF!</f>
        <v>#REF!</v>
      </c>
      <c r="W62" s="5" t="e">
        <f>#REF!</f>
        <v>#REF!</v>
      </c>
      <c r="X62" s="5" t="e">
        <f>#REF!</f>
        <v>#REF!</v>
      </c>
      <c r="Y62" s="5" t="e">
        <f>#REF!</f>
        <v>#REF!</v>
      </c>
      <c r="Z62" s="5" t="e">
        <f>#REF!</f>
        <v>#REF!</v>
      </c>
      <c r="AA62" s="6">
        <f>№1!Q67</f>
        <v>-4.66E-4</v>
      </c>
      <c r="AB62" s="6" t="e">
        <f>#REF!</f>
        <v>#REF!</v>
      </c>
      <c r="AC62" s="6" t="e">
        <f>#REF!</f>
        <v>#REF!</v>
      </c>
      <c r="AD62" s="6" t="e">
        <f>#REF!</f>
        <v>#REF!</v>
      </c>
      <c r="AE62" s="6" t="e">
        <f>#REF!</f>
        <v>#REF!</v>
      </c>
      <c r="AF62" s="6" t="e">
        <f>#REF!</f>
        <v>#REF!</v>
      </c>
      <c r="AG62" s="6" t="e">
        <f>#REF!</f>
        <v>#REF!</v>
      </c>
      <c r="AH62" s="6" t="e">
        <f>#REF!</f>
        <v>#REF!</v>
      </c>
      <c r="AI62" s="5">
        <f>№1!S67</f>
        <v>21.471449</v>
      </c>
      <c r="AJ62" s="5" t="e">
        <f>#REF!</f>
        <v>#REF!</v>
      </c>
      <c r="AK62" s="5" t="e">
        <f>#REF!</f>
        <v>#REF!</v>
      </c>
      <c r="AL62" s="5" t="e">
        <f>#REF!</f>
        <v>#REF!</v>
      </c>
      <c r="AM62" s="5" t="e">
        <f>#REF!</f>
        <v>#REF!</v>
      </c>
      <c r="AN62" s="5" t="e">
        <f>#REF!</f>
        <v>#REF!</v>
      </c>
      <c r="AO62" s="5" t="e">
        <f>#REF!</f>
        <v>#REF!</v>
      </c>
      <c r="AP62" s="5" t="e">
        <f>#REF!</f>
        <v>#REF!</v>
      </c>
      <c r="AQ62" s="6">
        <f>№1!T67</f>
        <v>175.18205666761793</v>
      </c>
      <c r="AR62" s="6" t="e">
        <f>#REF!</f>
        <v>#REF!</v>
      </c>
      <c r="AS62" s="6" t="e">
        <f>#REF!</f>
        <v>#REF!</v>
      </c>
      <c r="AT62" s="6" t="e">
        <f>#REF!</f>
        <v>#REF!</v>
      </c>
      <c r="AU62" s="6" t="e">
        <f>#REF!</f>
        <v>#REF!</v>
      </c>
      <c r="AV62" s="6" t="e">
        <f>#REF!</f>
        <v>#REF!</v>
      </c>
      <c r="AW62" s="6" t="e">
        <f>#REF!</f>
        <v>#REF!</v>
      </c>
      <c r="AX62" s="6" t="e">
        <f>#REF!</f>
        <v>#REF!</v>
      </c>
    </row>
    <row r="63" spans="1:50" x14ac:dyDescent="0.25">
      <c r="A63" s="3" t="e">
        <f>#REF!</f>
        <v>#REF!</v>
      </c>
      <c r="B63" s="4" t="e">
        <f t="shared" si="6"/>
        <v>#REF!</v>
      </c>
      <c r="C63" s="5">
        <f>№1!U68</f>
        <v>9.0402366639512444</v>
      </c>
      <c r="D63" s="5" t="e">
        <f>#REF!</f>
        <v>#REF!</v>
      </c>
      <c r="E63" s="5" t="e">
        <f>#REF!</f>
        <v>#REF!</v>
      </c>
      <c r="F63" s="5" t="e">
        <f>#REF!</f>
        <v>#REF!</v>
      </c>
      <c r="G63" s="5" t="e">
        <f>#REF!</f>
        <v>#REF!</v>
      </c>
      <c r="H63" s="5" t="e">
        <f>#REF!</f>
        <v>#REF!</v>
      </c>
      <c r="I63" s="5" t="e">
        <f>#REF!</f>
        <v>#REF!</v>
      </c>
      <c r="J63" s="5" t="e">
        <f>#REF!</f>
        <v>#REF!</v>
      </c>
      <c r="K63" s="6">
        <f>№1!P68</f>
        <v>39.561798000000003</v>
      </c>
      <c r="L63" s="6" t="e">
        <f>#REF!</f>
        <v>#REF!</v>
      </c>
      <c r="M63" s="6" t="e">
        <f>#REF!</f>
        <v>#REF!</v>
      </c>
      <c r="N63" s="6" t="e">
        <f>#REF!</f>
        <v>#REF!</v>
      </c>
      <c r="O63" s="6" t="e">
        <f>#REF!</f>
        <v>#REF!</v>
      </c>
      <c r="P63" s="6" t="e">
        <f>#REF!</f>
        <v>#REF!</v>
      </c>
      <c r="Q63" s="6" t="e">
        <f>#REF!</f>
        <v>#REF!</v>
      </c>
      <c r="R63" s="6" t="e">
        <f>#REF!</f>
        <v>#REF!</v>
      </c>
      <c r="S63" s="5">
        <f>№1!R68</f>
        <v>0.17704300000000001</v>
      </c>
      <c r="T63" s="5" t="e">
        <f>#REF!</f>
        <v>#REF!</v>
      </c>
      <c r="U63" s="5" t="e">
        <f>#REF!</f>
        <v>#REF!</v>
      </c>
      <c r="V63" s="5" t="e">
        <f>#REF!</f>
        <v>#REF!</v>
      </c>
      <c r="W63" s="5" t="e">
        <f>#REF!</f>
        <v>#REF!</v>
      </c>
      <c r="X63" s="5" t="e">
        <f>#REF!</f>
        <v>#REF!</v>
      </c>
      <c r="Y63" s="5" t="e">
        <f>#REF!</f>
        <v>#REF!</v>
      </c>
      <c r="Z63" s="5" t="e">
        <f>#REF!</f>
        <v>#REF!</v>
      </c>
      <c r="AA63" s="6">
        <f>№1!Q68</f>
        <v>1.8599999999999999E-4</v>
      </c>
      <c r="AB63" s="6" t="e">
        <f>#REF!</f>
        <v>#REF!</v>
      </c>
      <c r="AC63" s="6" t="e">
        <f>#REF!</f>
        <v>#REF!</v>
      </c>
      <c r="AD63" s="6" t="e">
        <f>#REF!</f>
        <v>#REF!</v>
      </c>
      <c r="AE63" s="6" t="e">
        <f>#REF!</f>
        <v>#REF!</v>
      </c>
      <c r="AF63" s="6" t="e">
        <f>#REF!</f>
        <v>#REF!</v>
      </c>
      <c r="AG63" s="6" t="e">
        <f>#REF!</f>
        <v>#REF!</v>
      </c>
      <c r="AH63" s="6" t="e">
        <f>#REF!</f>
        <v>#REF!</v>
      </c>
      <c r="AI63" s="5">
        <f>№1!S68</f>
        <v>21.561798</v>
      </c>
      <c r="AJ63" s="5" t="e">
        <f>#REF!</f>
        <v>#REF!</v>
      </c>
      <c r="AK63" s="5" t="e">
        <f>#REF!</f>
        <v>#REF!</v>
      </c>
      <c r="AL63" s="5" t="e">
        <f>#REF!</f>
        <v>#REF!</v>
      </c>
      <c r="AM63" s="5" t="e">
        <f>#REF!</f>
        <v>#REF!</v>
      </c>
      <c r="AN63" s="5" t="e">
        <f>#REF!</f>
        <v>#REF!</v>
      </c>
      <c r="AO63" s="5" t="e">
        <f>#REF!</f>
        <v>#REF!</v>
      </c>
      <c r="AP63" s="5" t="e">
        <f>#REF!</f>
        <v>#REF!</v>
      </c>
      <c r="AQ63" s="6">
        <f>№1!T68</f>
        <v>181.09282832627477</v>
      </c>
      <c r="AR63" s="6" t="e">
        <f>#REF!</f>
        <v>#REF!</v>
      </c>
      <c r="AS63" s="6" t="e">
        <f>#REF!</f>
        <v>#REF!</v>
      </c>
      <c r="AT63" s="6" t="e">
        <f>#REF!</f>
        <v>#REF!</v>
      </c>
      <c r="AU63" s="6" t="e">
        <f>#REF!</f>
        <v>#REF!</v>
      </c>
      <c r="AV63" s="6" t="e">
        <f>#REF!</f>
        <v>#REF!</v>
      </c>
      <c r="AW63" s="6" t="e">
        <f>#REF!</f>
        <v>#REF!</v>
      </c>
      <c r="AX63" s="6" t="e">
        <f>#REF!</f>
        <v>#REF!</v>
      </c>
    </row>
    <row r="64" spans="1:50" x14ac:dyDescent="0.25">
      <c r="A64" s="4" t="e">
        <f>#REF!</f>
        <v>#REF!</v>
      </c>
      <c r="B64" s="4" t="e">
        <f t="shared" si="6"/>
        <v>#REF!</v>
      </c>
      <c r="C64" s="5">
        <f>№1!U69</f>
        <v>8.9895654765859305</v>
      </c>
      <c r="D64" s="5" t="e">
        <f>#REF!</f>
        <v>#REF!</v>
      </c>
      <c r="E64" s="5" t="e">
        <f>#REF!</f>
        <v>#REF!</v>
      </c>
      <c r="F64" s="5" t="e">
        <f>#REF!</f>
        <v>#REF!</v>
      </c>
      <c r="G64" s="5" t="e">
        <f>#REF!</f>
        <v>#REF!</v>
      </c>
      <c r="H64" s="5" t="e">
        <f>#REF!</f>
        <v>#REF!</v>
      </c>
      <c r="I64" s="5" t="e">
        <f>#REF!</f>
        <v>#REF!</v>
      </c>
      <c r="J64" s="5" t="e">
        <f>#REF!</f>
        <v>#REF!</v>
      </c>
      <c r="K64" s="6">
        <f>№1!P69</f>
        <v>39.537387000000003</v>
      </c>
      <c r="L64" s="6" t="e">
        <f>#REF!</f>
        <v>#REF!</v>
      </c>
      <c r="M64" s="6" t="e">
        <f>#REF!</f>
        <v>#REF!</v>
      </c>
      <c r="N64" s="6" t="e">
        <f>#REF!</f>
        <v>#REF!</v>
      </c>
      <c r="O64" s="6" t="e">
        <f>#REF!</f>
        <v>#REF!</v>
      </c>
      <c r="P64" s="6" t="e">
        <f>#REF!</f>
        <v>#REF!</v>
      </c>
      <c r="Q64" s="6" t="e">
        <f>#REF!</f>
        <v>#REF!</v>
      </c>
      <c r="R64" s="6" t="e">
        <f>#REF!</f>
        <v>#REF!</v>
      </c>
      <c r="S64" s="5">
        <f>№1!R69</f>
        <v>0.17424999999999999</v>
      </c>
      <c r="T64" s="5" t="e">
        <f>#REF!</f>
        <v>#REF!</v>
      </c>
      <c r="U64" s="5" t="e">
        <f>#REF!</f>
        <v>#REF!</v>
      </c>
      <c r="V64" s="5" t="e">
        <f>#REF!</f>
        <v>#REF!</v>
      </c>
      <c r="W64" s="5" t="e">
        <f>#REF!</f>
        <v>#REF!</v>
      </c>
      <c r="X64" s="5" t="e">
        <f>#REF!</f>
        <v>#REF!</v>
      </c>
      <c r="Y64" s="5" t="e">
        <f>#REF!</f>
        <v>#REF!</v>
      </c>
      <c r="Z64" s="5" t="e">
        <f>#REF!</f>
        <v>#REF!</v>
      </c>
      <c r="AA64" s="6">
        <f>№1!Q69</f>
        <v>-1.6000000000000001E-4</v>
      </c>
      <c r="AB64" s="6" t="e">
        <f>#REF!</f>
        <v>#REF!</v>
      </c>
      <c r="AC64" s="6" t="e">
        <f>#REF!</f>
        <v>#REF!</v>
      </c>
      <c r="AD64" s="6" t="e">
        <f>#REF!</f>
        <v>#REF!</v>
      </c>
      <c r="AE64" s="6" t="e">
        <f>#REF!</f>
        <v>#REF!</v>
      </c>
      <c r="AF64" s="6" t="e">
        <f>#REF!</f>
        <v>#REF!</v>
      </c>
      <c r="AG64" s="6" t="e">
        <f>#REF!</f>
        <v>#REF!</v>
      </c>
      <c r="AH64" s="6" t="e">
        <f>#REF!</f>
        <v>#REF!</v>
      </c>
      <c r="AI64" s="5">
        <f>№1!S69</f>
        <v>21.537386999999999</v>
      </c>
      <c r="AJ64" s="5" t="e">
        <f>#REF!</f>
        <v>#REF!</v>
      </c>
      <c r="AK64" s="5" t="e">
        <f>#REF!</f>
        <v>#REF!</v>
      </c>
      <c r="AL64" s="5" t="e">
        <f>#REF!</f>
        <v>#REF!</v>
      </c>
      <c r="AM64" s="5" t="e">
        <f>#REF!</f>
        <v>#REF!</v>
      </c>
      <c r="AN64" s="5" t="e">
        <f>#REF!</f>
        <v>#REF!</v>
      </c>
      <c r="AO64" s="5" t="e">
        <f>#REF!</f>
        <v>#REF!</v>
      </c>
      <c r="AP64" s="5" t="e">
        <f>#REF!</f>
        <v>#REF!</v>
      </c>
      <c r="AQ64" s="6">
        <f>№1!T69</f>
        <v>182.95695310797115</v>
      </c>
      <c r="AR64" s="6" t="e">
        <f>#REF!</f>
        <v>#REF!</v>
      </c>
      <c r="AS64" s="6" t="e">
        <f>#REF!</f>
        <v>#REF!</v>
      </c>
      <c r="AT64" s="6" t="e">
        <f>#REF!</f>
        <v>#REF!</v>
      </c>
      <c r="AU64" s="6" t="e">
        <f>#REF!</f>
        <v>#REF!</v>
      </c>
      <c r="AV64" s="6" t="e">
        <f>#REF!</f>
        <v>#REF!</v>
      </c>
      <c r="AW64" s="6" t="e">
        <f>#REF!</f>
        <v>#REF!</v>
      </c>
      <c r="AX64" s="6" t="e">
        <f>#REF!</f>
        <v>#REF!</v>
      </c>
    </row>
    <row r="65" spans="1:50" x14ac:dyDescent="0.25">
      <c r="A65" s="3" t="e">
        <f>#REF!</f>
        <v>#REF!</v>
      </c>
      <c r="B65" s="4" t="e">
        <f t="shared" si="6"/>
        <v>#REF!</v>
      </c>
      <c r="C65" s="5">
        <f>№1!U70</f>
        <v>8.7999174874308341</v>
      </c>
      <c r="D65" s="5" t="e">
        <f>#REF!</f>
        <v>#REF!</v>
      </c>
      <c r="E65" s="5" t="e">
        <f>#REF!</f>
        <v>#REF!</v>
      </c>
      <c r="F65" s="5" t="e">
        <f>#REF!</f>
        <v>#REF!</v>
      </c>
      <c r="G65" s="5" t="e">
        <f>#REF!</f>
        <v>#REF!</v>
      </c>
      <c r="H65" s="5" t="e">
        <f>#REF!</f>
        <v>#REF!</v>
      </c>
      <c r="I65" s="5" t="e">
        <f>#REF!</f>
        <v>#REF!</v>
      </c>
      <c r="J65" s="5" t="e">
        <f>#REF!</f>
        <v>#REF!</v>
      </c>
      <c r="K65" s="6">
        <f>№1!P70</f>
        <v>39.444786000000001</v>
      </c>
      <c r="L65" s="6" t="e">
        <f>#REF!</f>
        <v>#REF!</v>
      </c>
      <c r="M65" s="6" t="e">
        <f>#REF!</f>
        <v>#REF!</v>
      </c>
      <c r="N65" s="6" t="e">
        <f>#REF!</f>
        <v>#REF!</v>
      </c>
      <c r="O65" s="6" t="e">
        <f>#REF!</f>
        <v>#REF!</v>
      </c>
      <c r="P65" s="6" t="e">
        <f>#REF!</f>
        <v>#REF!</v>
      </c>
      <c r="Q65" s="6" t="e">
        <f>#REF!</f>
        <v>#REF!</v>
      </c>
      <c r="R65" s="6" t="e">
        <f>#REF!</f>
        <v>#REF!</v>
      </c>
      <c r="S65" s="5">
        <f>№1!R70</f>
        <v>0.17174200000000001</v>
      </c>
      <c r="T65" s="5" t="e">
        <f>#REF!</f>
        <v>#REF!</v>
      </c>
      <c r="U65" s="5" t="e">
        <f>#REF!</f>
        <v>#REF!</v>
      </c>
      <c r="V65" s="5" t="e">
        <f>#REF!</f>
        <v>#REF!</v>
      </c>
      <c r="W65" s="5" t="e">
        <f>#REF!</f>
        <v>#REF!</v>
      </c>
      <c r="X65" s="5" t="e">
        <f>#REF!</f>
        <v>#REF!</v>
      </c>
      <c r="Y65" s="5" t="e">
        <f>#REF!</f>
        <v>#REF!</v>
      </c>
      <c r="Z65" s="5" t="e">
        <f>#REF!</f>
        <v>#REF!</v>
      </c>
      <c r="AA65" s="6">
        <f>№1!Q70</f>
        <v>-5.5400000000000002E-4</v>
      </c>
      <c r="AB65" s="6" t="e">
        <f>#REF!</f>
        <v>#REF!</v>
      </c>
      <c r="AC65" s="6" t="e">
        <f>#REF!</f>
        <v>#REF!</v>
      </c>
      <c r="AD65" s="6" t="e">
        <f>#REF!</f>
        <v>#REF!</v>
      </c>
      <c r="AE65" s="6" t="e">
        <f>#REF!</f>
        <v>#REF!</v>
      </c>
      <c r="AF65" s="6" t="e">
        <f>#REF!</f>
        <v>#REF!</v>
      </c>
      <c r="AG65" s="6" t="e">
        <f>#REF!</f>
        <v>#REF!</v>
      </c>
      <c r="AH65" s="6" t="e">
        <f>#REF!</f>
        <v>#REF!</v>
      </c>
      <c r="AI65" s="5">
        <f>№1!S70</f>
        <v>21.444786000000001</v>
      </c>
      <c r="AJ65" s="5" t="e">
        <f>#REF!</f>
        <v>#REF!</v>
      </c>
      <c r="AK65" s="5" t="e">
        <f>#REF!</f>
        <v>#REF!</v>
      </c>
      <c r="AL65" s="5" t="e">
        <f>#REF!</f>
        <v>#REF!</v>
      </c>
      <c r="AM65" s="5" t="e">
        <f>#REF!</f>
        <v>#REF!</v>
      </c>
      <c r="AN65" s="5" t="e">
        <f>#REF!</f>
        <v>#REF!</v>
      </c>
      <c r="AO65" s="5" t="e">
        <f>#REF!</f>
        <v>#REF!</v>
      </c>
      <c r="AP65" s="5" t="e">
        <f>#REF!</f>
        <v>#REF!</v>
      </c>
      <c r="AQ65" s="6">
        <f>№1!T70</f>
        <v>181.68493922326212</v>
      </c>
      <c r="AR65" s="6" t="e">
        <f>#REF!</f>
        <v>#REF!</v>
      </c>
      <c r="AS65" s="6" t="e">
        <f>#REF!</f>
        <v>#REF!</v>
      </c>
      <c r="AT65" s="6" t="e">
        <f>#REF!</f>
        <v>#REF!</v>
      </c>
      <c r="AU65" s="6" t="e">
        <f>#REF!</f>
        <v>#REF!</v>
      </c>
      <c r="AV65" s="6" t="e">
        <f>#REF!</f>
        <v>#REF!</v>
      </c>
      <c r="AW65" s="6" t="e">
        <f>#REF!</f>
        <v>#REF!</v>
      </c>
      <c r="AX65" s="6" t="e">
        <f>#REF!</f>
        <v>#REF!</v>
      </c>
    </row>
    <row r="66" spans="1:50" x14ac:dyDescent="0.25">
      <c r="A66" s="4" t="e">
        <f>#REF!</f>
        <v>#REF!</v>
      </c>
      <c r="B66" s="4" t="e">
        <f t="shared" si="6"/>
        <v>#REF!</v>
      </c>
      <c r="C66" s="5">
        <f>№1!U71</f>
        <v>9.1167028578294929</v>
      </c>
      <c r="D66" s="5" t="e">
        <f>#REF!</f>
        <v>#REF!</v>
      </c>
      <c r="E66" s="5" t="e">
        <f>#REF!</f>
        <v>#REF!</v>
      </c>
      <c r="F66" s="5" t="e">
        <f>#REF!</f>
        <v>#REF!</v>
      </c>
      <c r="G66" s="5" t="e">
        <f>#REF!</f>
        <v>#REF!</v>
      </c>
      <c r="H66" s="5" t="e">
        <f>#REF!</f>
        <v>#REF!</v>
      </c>
      <c r="I66" s="5" t="e">
        <f>#REF!</f>
        <v>#REF!</v>
      </c>
      <c r="J66" s="5" t="e">
        <f>#REF!</f>
        <v>#REF!</v>
      </c>
      <c r="K66" s="6">
        <f>№1!P71</f>
        <v>39.598377999999997</v>
      </c>
      <c r="L66" s="6" t="e">
        <f>#REF!</f>
        <v>#REF!</v>
      </c>
      <c r="M66" s="6" t="e">
        <f>#REF!</f>
        <v>#REF!</v>
      </c>
      <c r="N66" s="6" t="e">
        <f>#REF!</f>
        <v>#REF!</v>
      </c>
      <c r="O66" s="6" t="e">
        <f>#REF!</f>
        <v>#REF!</v>
      </c>
      <c r="P66" s="6" t="e">
        <f>#REF!</f>
        <v>#REF!</v>
      </c>
      <c r="Q66" s="6" t="e">
        <f>#REF!</f>
        <v>#REF!</v>
      </c>
      <c r="R66" s="6" t="e">
        <f>#REF!</f>
        <v>#REF!</v>
      </c>
      <c r="S66" s="5">
        <f>№1!R71</f>
        <v>0.17039499999999999</v>
      </c>
      <c r="T66" s="5" t="e">
        <f>#REF!</f>
        <v>#REF!</v>
      </c>
      <c r="U66" s="5" t="e">
        <f>#REF!</f>
        <v>#REF!</v>
      </c>
      <c r="V66" s="5" t="e">
        <f>#REF!</f>
        <v>#REF!</v>
      </c>
      <c r="W66" s="5" t="e">
        <f>#REF!</f>
        <v>#REF!</v>
      </c>
      <c r="X66" s="5" t="e">
        <f>#REF!</f>
        <v>#REF!</v>
      </c>
      <c r="Y66" s="5" t="e">
        <f>#REF!</f>
        <v>#REF!</v>
      </c>
      <c r="Z66" s="5" t="e">
        <f>#REF!</f>
        <v>#REF!</v>
      </c>
      <c r="AA66" s="6">
        <f>№1!Q71</f>
        <v>-1.12E-4</v>
      </c>
      <c r="AB66" s="6" t="e">
        <f>#REF!</f>
        <v>#REF!</v>
      </c>
      <c r="AC66" s="6" t="e">
        <f>#REF!</f>
        <v>#REF!</v>
      </c>
      <c r="AD66" s="6" t="e">
        <f>#REF!</f>
        <v>#REF!</v>
      </c>
      <c r="AE66" s="6" t="e">
        <f>#REF!</f>
        <v>#REF!</v>
      </c>
      <c r="AF66" s="6" t="e">
        <f>#REF!</f>
        <v>#REF!</v>
      </c>
      <c r="AG66" s="6" t="e">
        <f>#REF!</f>
        <v>#REF!</v>
      </c>
      <c r="AH66" s="6" t="e">
        <f>#REF!</f>
        <v>#REF!</v>
      </c>
      <c r="AI66" s="5">
        <f>№1!S71</f>
        <v>21.598378</v>
      </c>
      <c r="AJ66" s="5" t="e">
        <f>#REF!</f>
        <v>#REF!</v>
      </c>
      <c r="AK66" s="5" t="e">
        <f>#REF!</f>
        <v>#REF!</v>
      </c>
      <c r="AL66" s="5" t="e">
        <f>#REF!</f>
        <v>#REF!</v>
      </c>
      <c r="AM66" s="5" t="e">
        <f>#REF!</f>
        <v>#REF!</v>
      </c>
      <c r="AN66" s="5" t="e">
        <f>#REF!</f>
        <v>#REF!</v>
      </c>
      <c r="AO66" s="5" t="e">
        <f>#REF!</f>
        <v>#REF!</v>
      </c>
      <c r="AP66" s="5" t="e">
        <f>#REF!</f>
        <v>#REF!</v>
      </c>
      <c r="AQ66" s="6">
        <f>№1!T71</f>
        <v>189.76091525534105</v>
      </c>
      <c r="AR66" s="6" t="e">
        <f>#REF!</f>
        <v>#REF!</v>
      </c>
      <c r="AS66" s="6" t="e">
        <f>#REF!</f>
        <v>#REF!</v>
      </c>
      <c r="AT66" s="6" t="e">
        <f>#REF!</f>
        <v>#REF!</v>
      </c>
      <c r="AU66" s="6" t="e">
        <f>#REF!</f>
        <v>#REF!</v>
      </c>
      <c r="AV66" s="6" t="e">
        <f>#REF!</f>
        <v>#REF!</v>
      </c>
      <c r="AW66" s="6" t="e">
        <f>#REF!</f>
        <v>#REF!</v>
      </c>
      <c r="AX66" s="6" t="e">
        <f>#REF!</f>
        <v>#REF!</v>
      </c>
    </row>
    <row r="67" spans="1:50" x14ac:dyDescent="0.25">
      <c r="A67" s="3" t="e">
        <f>#REF!</f>
        <v>#REF!</v>
      </c>
      <c r="B67" s="4" t="e">
        <f t="shared" si="6"/>
        <v>#REF!</v>
      </c>
      <c r="C67" s="5">
        <f>№1!U72</f>
        <v>8.5409995699628176</v>
      </c>
      <c r="D67" s="5" t="e">
        <f>#REF!</f>
        <v>#REF!</v>
      </c>
      <c r="E67" s="5" t="e">
        <f>#REF!</f>
        <v>#REF!</v>
      </c>
      <c r="F67" s="5" t="e">
        <f>#REF!</f>
        <v>#REF!</v>
      </c>
      <c r="G67" s="5" t="e">
        <f>#REF!</f>
        <v>#REF!</v>
      </c>
      <c r="H67" s="5" t="e">
        <f>#REF!</f>
        <v>#REF!</v>
      </c>
      <c r="I67" s="5" t="e">
        <f>#REF!</f>
        <v>#REF!</v>
      </c>
      <c r="J67" s="5" t="e">
        <f>#REF!</f>
        <v>#REF!</v>
      </c>
      <c r="K67" s="6">
        <f>№1!P72</f>
        <v>39.315086999999998</v>
      </c>
      <c r="L67" s="6" t="e">
        <f>#REF!</f>
        <v>#REF!</v>
      </c>
      <c r="M67" s="6" t="e">
        <f>#REF!</f>
        <v>#REF!</v>
      </c>
      <c r="N67" s="6" t="e">
        <f>#REF!</f>
        <v>#REF!</v>
      </c>
      <c r="O67" s="6" t="e">
        <f>#REF!</f>
        <v>#REF!</v>
      </c>
      <c r="P67" s="6" t="e">
        <f>#REF!</f>
        <v>#REF!</v>
      </c>
      <c r="Q67" s="6" t="e">
        <f>#REF!</f>
        <v>#REF!</v>
      </c>
      <c r="R67" s="6" t="e">
        <f>#REF!</f>
        <v>#REF!</v>
      </c>
      <c r="S67" s="5">
        <f>№1!R72</f>
        <v>0.16916400000000001</v>
      </c>
      <c r="T67" s="5" t="e">
        <f>#REF!</f>
        <v>#REF!</v>
      </c>
      <c r="U67" s="5" t="e">
        <f>#REF!</f>
        <v>#REF!</v>
      </c>
      <c r="V67" s="5" t="e">
        <f>#REF!</f>
        <v>#REF!</v>
      </c>
      <c r="W67" s="5" t="e">
        <f>#REF!</f>
        <v>#REF!</v>
      </c>
      <c r="X67" s="5" t="e">
        <f>#REF!</f>
        <v>#REF!</v>
      </c>
      <c r="Y67" s="5" t="e">
        <f>#REF!</f>
        <v>#REF!</v>
      </c>
      <c r="Z67" s="5" t="e">
        <f>#REF!</f>
        <v>#REF!</v>
      </c>
      <c r="AA67" s="6">
        <f>№1!Q72</f>
        <v>-4.8899999999999996E-4</v>
      </c>
      <c r="AB67" s="6" t="e">
        <f>#REF!</f>
        <v>#REF!</v>
      </c>
      <c r="AC67" s="6" t="e">
        <f>#REF!</f>
        <v>#REF!</v>
      </c>
      <c r="AD67" s="6" t="e">
        <f>#REF!</f>
        <v>#REF!</v>
      </c>
      <c r="AE67" s="6" t="e">
        <f>#REF!</f>
        <v>#REF!</v>
      </c>
      <c r="AF67" s="6" t="e">
        <f>#REF!</f>
        <v>#REF!</v>
      </c>
      <c r="AG67" s="6" t="e">
        <f>#REF!</f>
        <v>#REF!</v>
      </c>
      <c r="AH67" s="6" t="e">
        <f>#REF!</f>
        <v>#REF!</v>
      </c>
      <c r="AI67" s="5">
        <f>№1!S72</f>
        <v>21.315086999999998</v>
      </c>
      <c r="AJ67" s="5" t="e">
        <f>#REF!</f>
        <v>#REF!</v>
      </c>
      <c r="AK67" s="5" t="e">
        <f>#REF!</f>
        <v>#REF!</v>
      </c>
      <c r="AL67" s="5" t="e">
        <f>#REF!</f>
        <v>#REF!</v>
      </c>
      <c r="AM67" s="5" t="e">
        <f>#REF!</f>
        <v>#REF!</v>
      </c>
      <c r="AN67" s="5" t="e">
        <f>#REF!</f>
        <v>#REF!</v>
      </c>
      <c r="AO67" s="5" t="e">
        <f>#REF!</f>
        <v>#REF!</v>
      </c>
      <c r="AP67" s="5" t="e">
        <f>#REF!</f>
        <v>#REF!</v>
      </c>
      <c r="AQ67" s="6">
        <f>№1!T72</f>
        <v>178.9874203966649</v>
      </c>
      <c r="AR67" s="6" t="e">
        <f>#REF!</f>
        <v>#REF!</v>
      </c>
      <c r="AS67" s="6" t="e">
        <f>#REF!</f>
        <v>#REF!</v>
      </c>
      <c r="AT67" s="6" t="e">
        <f>#REF!</f>
        <v>#REF!</v>
      </c>
      <c r="AU67" s="6" t="e">
        <f>#REF!</f>
        <v>#REF!</v>
      </c>
      <c r="AV67" s="6" t="e">
        <f>#REF!</f>
        <v>#REF!</v>
      </c>
      <c r="AW67" s="6" t="e">
        <f>#REF!</f>
        <v>#REF!</v>
      </c>
      <c r="AX67" s="6" t="e">
        <f>#REF!</f>
        <v>#REF!</v>
      </c>
    </row>
    <row r="68" spans="1:50" x14ac:dyDescent="0.25">
      <c r="A68" s="4" t="e">
        <f>#REF!</f>
        <v>#REF!</v>
      </c>
      <c r="B68" s="4" t="e">
        <f t="shared" si="6"/>
        <v>#REF!</v>
      </c>
      <c r="C68" s="5">
        <f>№1!U73</f>
        <v>7.7559749903877302</v>
      </c>
      <c r="D68" s="5" t="e">
        <f>#REF!</f>
        <v>#REF!</v>
      </c>
      <c r="E68" s="5" t="e">
        <f>#REF!</f>
        <v>#REF!</v>
      </c>
      <c r="F68" s="5" t="e">
        <f>#REF!</f>
        <v>#REF!</v>
      </c>
      <c r="G68" s="5" t="e">
        <f>#REF!</f>
        <v>#REF!</v>
      </c>
      <c r="H68" s="5" t="e">
        <f>#REF!</f>
        <v>#REF!</v>
      </c>
      <c r="I68" s="5" t="e">
        <f>#REF!</f>
        <v>#REF!</v>
      </c>
      <c r="J68" s="5" t="e">
        <f>#REF!</f>
        <v>#REF!</v>
      </c>
      <c r="K68" s="6">
        <f>№1!P73</f>
        <v>38.896363999999998</v>
      </c>
      <c r="L68" s="6" t="e">
        <f>#REF!</f>
        <v>#REF!</v>
      </c>
      <c r="M68" s="6" t="e">
        <f>#REF!</f>
        <v>#REF!</v>
      </c>
      <c r="N68" s="6" t="e">
        <f>#REF!</f>
        <v>#REF!</v>
      </c>
      <c r="O68" s="6" t="e">
        <f>#REF!</f>
        <v>#REF!</v>
      </c>
      <c r="P68" s="6" t="e">
        <f>#REF!</f>
        <v>#REF!</v>
      </c>
      <c r="Q68" s="6" t="e">
        <f>#REF!</f>
        <v>#REF!</v>
      </c>
      <c r="R68" s="6" t="e">
        <f>#REF!</f>
        <v>#REF!</v>
      </c>
      <c r="S68" s="5">
        <f>№1!R73</f>
        <v>0.16786599999999999</v>
      </c>
      <c r="T68" s="5" t="e">
        <f>#REF!</f>
        <v>#REF!</v>
      </c>
      <c r="U68" s="5" t="e">
        <f>#REF!</f>
        <v>#REF!</v>
      </c>
      <c r="V68" s="5" t="e">
        <f>#REF!</f>
        <v>#REF!</v>
      </c>
      <c r="W68" s="5" t="e">
        <f>#REF!</f>
        <v>#REF!</v>
      </c>
      <c r="X68" s="5" t="e">
        <f>#REF!</f>
        <v>#REF!</v>
      </c>
      <c r="Y68" s="5" t="e">
        <f>#REF!</f>
        <v>#REF!</v>
      </c>
      <c r="Z68" s="5" t="e">
        <f>#REF!</f>
        <v>#REF!</v>
      </c>
      <c r="AA68" s="6">
        <f>№1!Q73</f>
        <v>-6.8999999999999997E-5</v>
      </c>
      <c r="AB68" s="6" t="e">
        <f>#REF!</f>
        <v>#REF!</v>
      </c>
      <c r="AC68" s="6" t="e">
        <f>#REF!</f>
        <v>#REF!</v>
      </c>
      <c r="AD68" s="6" t="e">
        <f>#REF!</f>
        <v>#REF!</v>
      </c>
      <c r="AE68" s="6" t="e">
        <f>#REF!</f>
        <v>#REF!</v>
      </c>
      <c r="AF68" s="6" t="e">
        <f>#REF!</f>
        <v>#REF!</v>
      </c>
      <c r="AG68" s="6" t="e">
        <f>#REF!</f>
        <v>#REF!</v>
      </c>
      <c r="AH68" s="6" t="e">
        <f>#REF!</f>
        <v>#REF!</v>
      </c>
      <c r="AI68" s="5">
        <f>№1!S73</f>
        <v>20.896363999999998</v>
      </c>
      <c r="AJ68" s="5" t="e">
        <f>#REF!</f>
        <v>#REF!</v>
      </c>
      <c r="AK68" s="5" t="e">
        <f>#REF!</f>
        <v>#REF!</v>
      </c>
      <c r="AL68" s="5" t="e">
        <f>#REF!</f>
        <v>#REF!</v>
      </c>
      <c r="AM68" s="5" t="e">
        <f>#REF!</f>
        <v>#REF!</v>
      </c>
      <c r="AN68" s="5" t="e">
        <f>#REF!</f>
        <v>#REF!</v>
      </c>
      <c r="AO68" s="5" t="e">
        <f>#REF!</f>
        <v>#REF!</v>
      </c>
      <c r="AP68" s="5" t="e">
        <f>#REF!</f>
        <v>#REF!</v>
      </c>
      <c r="AQ68" s="6">
        <f>№1!T73</f>
        <v>163.66964585570193</v>
      </c>
      <c r="AR68" s="6" t="e">
        <f>#REF!</f>
        <v>#REF!</v>
      </c>
      <c r="AS68" s="6" t="e">
        <f>#REF!</f>
        <v>#REF!</v>
      </c>
      <c r="AT68" s="6" t="e">
        <f>#REF!</f>
        <v>#REF!</v>
      </c>
      <c r="AU68" s="6" t="e">
        <f>#REF!</f>
        <v>#REF!</v>
      </c>
      <c r="AV68" s="6" t="e">
        <f>#REF!</f>
        <v>#REF!</v>
      </c>
      <c r="AW68" s="6" t="e">
        <f>#REF!</f>
        <v>#REF!</v>
      </c>
      <c r="AX68" s="6" t="e">
        <f>#REF!</f>
        <v>#REF!</v>
      </c>
    </row>
    <row r="69" spans="1:50" x14ac:dyDescent="0.25">
      <c r="A69" s="3" t="e">
        <f>#REF!</f>
        <v>#REF!</v>
      </c>
      <c r="B69" s="4" t="e">
        <f t="shared" si="6"/>
        <v>#REF!</v>
      </c>
      <c r="C69" s="5">
        <f>№1!U74</f>
        <v>7.4868184168194869</v>
      </c>
      <c r="D69" s="5" t="e">
        <f>#REF!</f>
        <v>#REF!</v>
      </c>
      <c r="E69" s="5" t="e">
        <f>#REF!</f>
        <v>#REF!</v>
      </c>
      <c r="F69" s="5" t="e">
        <f>#REF!</f>
        <v>#REF!</v>
      </c>
      <c r="G69" s="5" t="e">
        <f>#REF!</f>
        <v>#REF!</v>
      </c>
      <c r="H69" s="5" t="e">
        <f>#REF!</f>
        <v>#REF!</v>
      </c>
      <c r="I69" s="5" t="e">
        <f>#REF!</f>
        <v>#REF!</v>
      </c>
      <c r="J69" s="5" t="e">
        <f>#REF!</f>
        <v>#REF!</v>
      </c>
      <c r="K69" s="6">
        <f>№1!P74</f>
        <v>38.742972999999999</v>
      </c>
      <c r="L69" s="6" t="e">
        <f>#REF!</f>
        <v>#REF!</v>
      </c>
      <c r="M69" s="6" t="e">
        <f>#REF!</f>
        <v>#REF!</v>
      </c>
      <c r="N69" s="6" t="e">
        <f>#REF!</f>
        <v>#REF!</v>
      </c>
      <c r="O69" s="6" t="e">
        <f>#REF!</f>
        <v>#REF!</v>
      </c>
      <c r="P69" s="6" t="e">
        <f>#REF!</f>
        <v>#REF!</v>
      </c>
      <c r="Q69" s="6" t="e">
        <f>#REF!</f>
        <v>#REF!</v>
      </c>
      <c r="R69" s="6" t="e">
        <f>#REF!</f>
        <v>#REF!</v>
      </c>
      <c r="S69" s="5">
        <f>№1!R74</f>
        <v>0.168464</v>
      </c>
      <c r="T69" s="5" t="e">
        <f>#REF!</f>
        <v>#REF!</v>
      </c>
      <c r="U69" s="5" t="e">
        <f>#REF!</f>
        <v>#REF!</v>
      </c>
      <c r="V69" s="5" t="e">
        <f>#REF!</f>
        <v>#REF!</v>
      </c>
      <c r="W69" s="5" t="e">
        <f>#REF!</f>
        <v>#REF!</v>
      </c>
      <c r="X69" s="5" t="e">
        <f>#REF!</f>
        <v>#REF!</v>
      </c>
      <c r="Y69" s="5" t="e">
        <f>#REF!</f>
        <v>#REF!</v>
      </c>
      <c r="Z69" s="5" t="e">
        <f>#REF!</f>
        <v>#REF!</v>
      </c>
      <c r="AA69" s="6">
        <f>№1!Q74</f>
        <v>-5.1699999999999999E-4</v>
      </c>
      <c r="AB69" s="6" t="e">
        <f>#REF!</f>
        <v>#REF!</v>
      </c>
      <c r="AC69" s="6" t="e">
        <f>#REF!</f>
        <v>#REF!</v>
      </c>
      <c r="AD69" s="6" t="e">
        <f>#REF!</f>
        <v>#REF!</v>
      </c>
      <c r="AE69" s="6" t="e">
        <f>#REF!</f>
        <v>#REF!</v>
      </c>
      <c r="AF69" s="6" t="e">
        <f>#REF!</f>
        <v>#REF!</v>
      </c>
      <c r="AG69" s="6" t="e">
        <f>#REF!</f>
        <v>#REF!</v>
      </c>
      <c r="AH69" s="6" t="e">
        <f>#REF!</f>
        <v>#REF!</v>
      </c>
      <c r="AI69" s="5">
        <f>№1!S74</f>
        <v>20.742972999999999</v>
      </c>
      <c r="AJ69" s="5" t="e">
        <f>#REF!</f>
        <v>#REF!</v>
      </c>
      <c r="AK69" s="5" t="e">
        <f>#REF!</f>
        <v>#REF!</v>
      </c>
      <c r="AL69" s="5" t="e">
        <f>#REF!</f>
        <v>#REF!</v>
      </c>
      <c r="AM69" s="5" t="e">
        <f>#REF!</f>
        <v>#REF!</v>
      </c>
      <c r="AN69" s="5" t="e">
        <f>#REF!</f>
        <v>#REF!</v>
      </c>
      <c r="AO69" s="5" t="e">
        <f>#REF!</f>
        <v>#REF!</v>
      </c>
      <c r="AP69" s="5" t="e">
        <f>#REF!</f>
        <v>#REF!</v>
      </c>
      <c r="AQ69" s="6">
        <f>№1!T74</f>
        <v>157.38255825686088</v>
      </c>
      <c r="AR69" s="6" t="e">
        <f>#REF!</f>
        <v>#REF!</v>
      </c>
      <c r="AS69" s="6" t="e">
        <f>#REF!</f>
        <v>#REF!</v>
      </c>
      <c r="AT69" s="6" t="e">
        <f>#REF!</f>
        <v>#REF!</v>
      </c>
      <c r="AU69" s="6" t="e">
        <f>#REF!</f>
        <v>#REF!</v>
      </c>
      <c r="AV69" s="6" t="e">
        <f>#REF!</f>
        <v>#REF!</v>
      </c>
      <c r="AW69" s="6" t="e">
        <f>#REF!</f>
        <v>#REF!</v>
      </c>
      <c r="AX69" s="6" t="e">
        <f>#REF!</f>
        <v>#REF!</v>
      </c>
    </row>
    <row r="70" spans="1:50" x14ac:dyDescent="0.25">
      <c r="A70" s="4" t="e">
        <f>#REF!</f>
        <v>#REF!</v>
      </c>
      <c r="B70" s="4" t="e">
        <f t="shared" ref="B70:B101" si="7">A70/1000000000</f>
        <v>#REF!</v>
      </c>
      <c r="C70" s="5">
        <f>№1!U75</f>
        <v>7.5758610393896468</v>
      </c>
      <c r="D70" s="5" t="e">
        <f>#REF!</f>
        <v>#REF!</v>
      </c>
      <c r="E70" s="5" t="e">
        <f>#REF!</f>
        <v>#REF!</v>
      </c>
      <c r="F70" s="5" t="e">
        <f>#REF!</f>
        <v>#REF!</v>
      </c>
      <c r="G70" s="5" t="e">
        <f>#REF!</f>
        <v>#REF!</v>
      </c>
      <c r="H70" s="5" t="e">
        <f>#REF!</f>
        <v>#REF!</v>
      </c>
      <c r="I70" s="5" t="e">
        <f>#REF!</f>
        <v>#REF!</v>
      </c>
      <c r="J70" s="5" t="e">
        <f>#REF!</f>
        <v>#REF!</v>
      </c>
      <c r="K70" s="6">
        <f>№1!P75</f>
        <v>38.794319999999999</v>
      </c>
      <c r="L70" s="6" t="e">
        <f>#REF!</f>
        <v>#REF!</v>
      </c>
      <c r="M70" s="6" t="e">
        <f>#REF!</f>
        <v>#REF!</v>
      </c>
      <c r="N70" s="6" t="e">
        <f>#REF!</f>
        <v>#REF!</v>
      </c>
      <c r="O70" s="6" t="e">
        <f>#REF!</f>
        <v>#REF!</v>
      </c>
      <c r="P70" s="6" t="e">
        <f>#REF!</f>
        <v>#REF!</v>
      </c>
      <c r="Q70" s="6" t="e">
        <f>#REF!</f>
        <v>#REF!</v>
      </c>
      <c r="R70" s="6" t="e">
        <f>#REF!</f>
        <v>#REF!</v>
      </c>
      <c r="S70" s="5">
        <f>№1!R75</f>
        <v>0.171234</v>
      </c>
      <c r="T70" s="5" t="e">
        <f>#REF!</f>
        <v>#REF!</v>
      </c>
      <c r="U70" s="5" t="e">
        <f>#REF!</f>
        <v>#REF!</v>
      </c>
      <c r="V70" s="5" t="e">
        <f>#REF!</f>
        <v>#REF!</v>
      </c>
      <c r="W70" s="5" t="e">
        <f>#REF!</f>
        <v>#REF!</v>
      </c>
      <c r="X70" s="5" t="e">
        <f>#REF!</f>
        <v>#REF!</v>
      </c>
      <c r="Y70" s="5" t="e">
        <f>#REF!</f>
        <v>#REF!</v>
      </c>
      <c r="Z70" s="5" t="e">
        <f>#REF!</f>
        <v>#REF!</v>
      </c>
      <c r="AA70" s="6">
        <f>№1!Q75</f>
        <v>-2.3499999999999999E-4</v>
      </c>
      <c r="AB70" s="6" t="e">
        <f>#REF!</f>
        <v>#REF!</v>
      </c>
      <c r="AC70" s="6" t="e">
        <f>#REF!</f>
        <v>#REF!</v>
      </c>
      <c r="AD70" s="6" t="e">
        <f>#REF!</f>
        <v>#REF!</v>
      </c>
      <c r="AE70" s="6" t="e">
        <f>#REF!</f>
        <v>#REF!</v>
      </c>
      <c r="AF70" s="6" t="e">
        <f>#REF!</f>
        <v>#REF!</v>
      </c>
      <c r="AG70" s="6" t="e">
        <f>#REF!</f>
        <v>#REF!</v>
      </c>
      <c r="AH70" s="6" t="e">
        <f>#REF!</f>
        <v>#REF!</v>
      </c>
      <c r="AI70" s="5">
        <f>№1!S75</f>
        <v>20.794319999999999</v>
      </c>
      <c r="AJ70" s="5" t="e">
        <f>#REF!</f>
        <v>#REF!</v>
      </c>
      <c r="AK70" s="5" t="e">
        <f>#REF!</f>
        <v>#REF!</v>
      </c>
      <c r="AL70" s="5" t="e">
        <f>#REF!</f>
        <v>#REF!</v>
      </c>
      <c r="AM70" s="5" t="e">
        <f>#REF!</f>
        <v>#REF!</v>
      </c>
      <c r="AN70" s="5" t="e">
        <f>#REF!</f>
        <v>#REF!</v>
      </c>
      <c r="AO70" s="5" t="e">
        <f>#REF!</f>
        <v>#REF!</v>
      </c>
      <c r="AP70" s="5" t="e">
        <f>#REF!</f>
        <v>#REF!</v>
      </c>
      <c r="AQ70" s="6">
        <f>№1!T75</f>
        <v>156.69379130608297</v>
      </c>
      <c r="AR70" s="6" t="e">
        <f>#REF!</f>
        <v>#REF!</v>
      </c>
      <c r="AS70" s="6" t="e">
        <f>#REF!</f>
        <v>#REF!</v>
      </c>
      <c r="AT70" s="6" t="e">
        <f>#REF!</f>
        <v>#REF!</v>
      </c>
      <c r="AU70" s="6" t="e">
        <f>#REF!</f>
        <v>#REF!</v>
      </c>
      <c r="AV70" s="6" t="e">
        <f>#REF!</f>
        <v>#REF!</v>
      </c>
      <c r="AW70" s="6" t="e">
        <f>#REF!</f>
        <v>#REF!</v>
      </c>
      <c r="AX70" s="6" t="e">
        <f>#REF!</f>
        <v>#REF!</v>
      </c>
    </row>
    <row r="71" spans="1:50" x14ac:dyDescent="0.25">
      <c r="A71" s="3" t="e">
        <f>#REF!</f>
        <v>#REF!</v>
      </c>
      <c r="B71" s="4" t="e">
        <f t="shared" si="7"/>
        <v>#REF!</v>
      </c>
      <c r="C71" s="5">
        <f>№1!U76</f>
        <v>7.6711416111087694</v>
      </c>
      <c r="D71" s="5" t="e">
        <f>#REF!</f>
        <v>#REF!</v>
      </c>
      <c r="E71" s="5" t="e">
        <f>#REF!</f>
        <v>#REF!</v>
      </c>
      <c r="F71" s="5" t="e">
        <f>#REF!</f>
        <v>#REF!</v>
      </c>
      <c r="G71" s="5" t="e">
        <f>#REF!</f>
        <v>#REF!</v>
      </c>
      <c r="H71" s="5" t="e">
        <f>#REF!</f>
        <v>#REF!</v>
      </c>
      <c r="I71" s="5" t="e">
        <f>#REF!</f>
        <v>#REF!</v>
      </c>
      <c r="J71" s="5" t="e">
        <f>#REF!</f>
        <v>#REF!</v>
      </c>
      <c r="K71" s="6">
        <f>№1!P76</f>
        <v>38.848599999999998</v>
      </c>
      <c r="L71" s="6" t="e">
        <f>#REF!</f>
        <v>#REF!</v>
      </c>
      <c r="M71" s="6" t="e">
        <f>#REF!</f>
        <v>#REF!</v>
      </c>
      <c r="N71" s="6" t="e">
        <f>#REF!</f>
        <v>#REF!</v>
      </c>
      <c r="O71" s="6" t="e">
        <f>#REF!</f>
        <v>#REF!</v>
      </c>
      <c r="P71" s="6" t="e">
        <f>#REF!</f>
        <v>#REF!</v>
      </c>
      <c r="Q71" s="6" t="e">
        <f>#REF!</f>
        <v>#REF!</v>
      </c>
      <c r="R71" s="6" t="e">
        <f>#REF!</f>
        <v>#REF!</v>
      </c>
      <c r="S71" s="5">
        <f>№1!R76</f>
        <v>0.17407600000000001</v>
      </c>
      <c r="T71" s="5" t="e">
        <f>#REF!</f>
        <v>#REF!</v>
      </c>
      <c r="U71" s="5" t="e">
        <f>#REF!</f>
        <v>#REF!</v>
      </c>
      <c r="V71" s="5" t="e">
        <f>#REF!</f>
        <v>#REF!</v>
      </c>
      <c r="W71" s="5" t="e">
        <f>#REF!</f>
        <v>#REF!</v>
      </c>
      <c r="X71" s="5" t="e">
        <f>#REF!</f>
        <v>#REF!</v>
      </c>
      <c r="Y71" s="5" t="e">
        <f>#REF!</f>
        <v>#REF!</v>
      </c>
      <c r="Z71" s="5" t="e">
        <f>#REF!</f>
        <v>#REF!</v>
      </c>
      <c r="AA71" s="6">
        <f>№1!Q76</f>
        <v>-2.5399999999999999E-4</v>
      </c>
      <c r="AB71" s="6" t="e">
        <f>#REF!</f>
        <v>#REF!</v>
      </c>
      <c r="AC71" s="6" t="e">
        <f>#REF!</f>
        <v>#REF!</v>
      </c>
      <c r="AD71" s="6" t="e">
        <f>#REF!</f>
        <v>#REF!</v>
      </c>
      <c r="AE71" s="6" t="e">
        <f>#REF!</f>
        <v>#REF!</v>
      </c>
      <c r="AF71" s="6" t="e">
        <f>#REF!</f>
        <v>#REF!</v>
      </c>
      <c r="AG71" s="6" t="e">
        <f>#REF!</f>
        <v>#REF!</v>
      </c>
      <c r="AH71" s="6" t="e">
        <f>#REF!</f>
        <v>#REF!</v>
      </c>
      <c r="AI71" s="5">
        <f>№1!S76</f>
        <v>20.848600000000001</v>
      </c>
      <c r="AJ71" s="5" t="e">
        <f>#REF!</f>
        <v>#REF!</v>
      </c>
      <c r="AK71" s="5" t="e">
        <f>#REF!</f>
        <v>#REF!</v>
      </c>
      <c r="AL71" s="5" t="e">
        <f>#REF!</f>
        <v>#REF!</v>
      </c>
      <c r="AM71" s="5" t="e">
        <f>#REF!</f>
        <v>#REF!</v>
      </c>
      <c r="AN71" s="5" t="e">
        <f>#REF!</f>
        <v>#REF!</v>
      </c>
      <c r="AO71" s="5" t="e">
        <f>#REF!</f>
        <v>#REF!</v>
      </c>
      <c r="AP71" s="5" t="e">
        <f>#REF!</f>
        <v>#REF!</v>
      </c>
      <c r="AQ71" s="6">
        <f>№1!T76</f>
        <v>156.09039969120116</v>
      </c>
      <c r="AR71" s="6" t="e">
        <f>#REF!</f>
        <v>#REF!</v>
      </c>
      <c r="AS71" s="6" t="e">
        <f>#REF!</f>
        <v>#REF!</v>
      </c>
      <c r="AT71" s="6" t="e">
        <f>#REF!</f>
        <v>#REF!</v>
      </c>
      <c r="AU71" s="6" t="e">
        <f>#REF!</f>
        <v>#REF!</v>
      </c>
      <c r="AV71" s="6" t="e">
        <f>#REF!</f>
        <v>#REF!</v>
      </c>
      <c r="AW71" s="6" t="e">
        <f>#REF!</f>
        <v>#REF!</v>
      </c>
      <c r="AX71" s="6" t="e">
        <f>#REF!</f>
        <v>#REF!</v>
      </c>
    </row>
    <row r="72" spans="1:50" x14ac:dyDescent="0.25">
      <c r="A72" s="4" t="e">
        <f>#REF!</f>
        <v>#REF!</v>
      </c>
      <c r="B72" s="4" t="e">
        <f t="shared" si="7"/>
        <v>#REF!</v>
      </c>
      <c r="C72" s="5">
        <f>№1!U77</f>
        <v>8.11830568269</v>
      </c>
      <c r="D72" s="5" t="e">
        <f>#REF!</f>
        <v>#REF!</v>
      </c>
      <c r="E72" s="5" t="e">
        <f>#REF!</f>
        <v>#REF!</v>
      </c>
      <c r="F72" s="5" t="e">
        <f>#REF!</f>
        <v>#REF!</v>
      </c>
      <c r="G72" s="5" t="e">
        <f>#REF!</f>
        <v>#REF!</v>
      </c>
      <c r="H72" s="5" t="e">
        <f>#REF!</f>
        <v>#REF!</v>
      </c>
      <c r="I72" s="5" t="e">
        <f>#REF!</f>
        <v>#REF!</v>
      </c>
      <c r="J72" s="5" t="e">
        <f>#REF!</f>
        <v>#REF!</v>
      </c>
      <c r="K72" s="6">
        <f>№1!P77</f>
        <v>39.094653999999998</v>
      </c>
      <c r="L72" s="6" t="e">
        <f>#REF!</f>
        <v>#REF!</v>
      </c>
      <c r="M72" s="6" t="e">
        <f>#REF!</f>
        <v>#REF!</v>
      </c>
      <c r="N72" s="6" t="e">
        <f>#REF!</f>
        <v>#REF!</v>
      </c>
      <c r="O72" s="6" t="e">
        <f>#REF!</f>
        <v>#REF!</v>
      </c>
      <c r="P72" s="6" t="e">
        <f>#REF!</f>
        <v>#REF!</v>
      </c>
      <c r="Q72" s="6" t="e">
        <f>#REF!</f>
        <v>#REF!</v>
      </c>
      <c r="R72" s="6" t="e">
        <f>#REF!</f>
        <v>#REF!</v>
      </c>
      <c r="S72" s="5">
        <f>№1!R77</f>
        <v>0.17685999999999999</v>
      </c>
      <c r="T72" s="5" t="e">
        <f>#REF!</f>
        <v>#REF!</v>
      </c>
      <c r="U72" s="5" t="e">
        <f>#REF!</f>
        <v>#REF!</v>
      </c>
      <c r="V72" s="5" t="e">
        <f>#REF!</f>
        <v>#REF!</v>
      </c>
      <c r="W72" s="5" t="e">
        <f>#REF!</f>
        <v>#REF!</v>
      </c>
      <c r="X72" s="5" t="e">
        <f>#REF!</f>
        <v>#REF!</v>
      </c>
      <c r="Y72" s="5" t="e">
        <f>#REF!</f>
        <v>#REF!</v>
      </c>
      <c r="Z72" s="5" t="e">
        <f>#REF!</f>
        <v>#REF!</v>
      </c>
      <c r="AA72" s="6">
        <f>№1!Q77</f>
        <v>-4.6500000000000003E-4</v>
      </c>
      <c r="AB72" s="6" t="e">
        <f>#REF!</f>
        <v>#REF!</v>
      </c>
      <c r="AC72" s="6" t="e">
        <f>#REF!</f>
        <v>#REF!</v>
      </c>
      <c r="AD72" s="6" t="e">
        <f>#REF!</f>
        <v>#REF!</v>
      </c>
      <c r="AE72" s="6" t="e">
        <f>#REF!</f>
        <v>#REF!</v>
      </c>
      <c r="AF72" s="6" t="e">
        <f>#REF!</f>
        <v>#REF!</v>
      </c>
      <c r="AG72" s="6" t="e">
        <f>#REF!</f>
        <v>#REF!</v>
      </c>
      <c r="AH72" s="6" t="e">
        <f>#REF!</f>
        <v>#REF!</v>
      </c>
      <c r="AI72" s="5">
        <f>№1!S77</f>
        <v>21.094653999999998</v>
      </c>
      <c r="AJ72" s="5" t="e">
        <f>#REF!</f>
        <v>#REF!</v>
      </c>
      <c r="AK72" s="5" t="e">
        <f>#REF!</f>
        <v>#REF!</v>
      </c>
      <c r="AL72" s="5" t="e">
        <f>#REF!</f>
        <v>#REF!</v>
      </c>
      <c r="AM72" s="5" t="e">
        <f>#REF!</f>
        <v>#REF!</v>
      </c>
      <c r="AN72" s="5" t="e">
        <f>#REF!</f>
        <v>#REF!</v>
      </c>
      <c r="AO72" s="5" t="e">
        <f>#REF!</f>
        <v>#REF!</v>
      </c>
      <c r="AP72" s="5" t="e">
        <f>#REF!</f>
        <v>#REF!</v>
      </c>
      <c r="AQ72" s="6">
        <f>№1!T77</f>
        <v>162.66316271631277</v>
      </c>
      <c r="AR72" s="6" t="e">
        <f>#REF!</f>
        <v>#REF!</v>
      </c>
      <c r="AS72" s="6" t="e">
        <f>#REF!</f>
        <v>#REF!</v>
      </c>
      <c r="AT72" s="6" t="e">
        <f>#REF!</f>
        <v>#REF!</v>
      </c>
      <c r="AU72" s="6" t="e">
        <f>#REF!</f>
        <v>#REF!</v>
      </c>
      <c r="AV72" s="6" t="e">
        <f>#REF!</f>
        <v>#REF!</v>
      </c>
      <c r="AW72" s="6" t="e">
        <f>#REF!</f>
        <v>#REF!</v>
      </c>
      <c r="AX72" s="6" t="e">
        <f>#REF!</f>
        <v>#REF!</v>
      </c>
    </row>
    <row r="73" spans="1:50" x14ac:dyDescent="0.25">
      <c r="A73" s="3" t="e">
        <f>#REF!</f>
        <v>#REF!</v>
      </c>
      <c r="B73" s="4" t="e">
        <f t="shared" si="7"/>
        <v>#REF!</v>
      </c>
      <c r="C73" s="5">
        <f>№1!U78</f>
        <v>8.2170002464635008</v>
      </c>
      <c r="D73" s="5" t="e">
        <f>#REF!</f>
        <v>#REF!</v>
      </c>
      <c r="E73" s="5" t="e">
        <f>#REF!</f>
        <v>#REF!</v>
      </c>
      <c r="F73" s="5" t="e">
        <f>#REF!</f>
        <v>#REF!</v>
      </c>
      <c r="G73" s="5" t="e">
        <f>#REF!</f>
        <v>#REF!</v>
      </c>
      <c r="H73" s="5" t="e">
        <f>#REF!</f>
        <v>#REF!</v>
      </c>
      <c r="I73" s="5" t="e">
        <f>#REF!</f>
        <v>#REF!</v>
      </c>
      <c r="J73" s="5" t="e">
        <f>#REF!</f>
        <v>#REF!</v>
      </c>
      <c r="K73" s="6">
        <f>№1!P78</f>
        <v>39.147132999999997</v>
      </c>
      <c r="L73" s="6" t="e">
        <f>#REF!</f>
        <v>#REF!</v>
      </c>
      <c r="M73" s="6" t="e">
        <f>#REF!</f>
        <v>#REF!</v>
      </c>
      <c r="N73" s="6" t="e">
        <f>#REF!</f>
        <v>#REF!</v>
      </c>
      <c r="O73" s="6" t="e">
        <f>#REF!</f>
        <v>#REF!</v>
      </c>
      <c r="P73" s="6" t="e">
        <f>#REF!</f>
        <v>#REF!</v>
      </c>
      <c r="Q73" s="6" t="e">
        <f>#REF!</f>
        <v>#REF!</v>
      </c>
      <c r="R73" s="6" t="e">
        <f>#REF!</f>
        <v>#REF!</v>
      </c>
      <c r="S73" s="5">
        <f>№1!R78</f>
        <v>0.17788899999999999</v>
      </c>
      <c r="T73" s="5" t="e">
        <f>#REF!</f>
        <v>#REF!</v>
      </c>
      <c r="U73" s="5" t="e">
        <f>#REF!</f>
        <v>#REF!</v>
      </c>
      <c r="V73" s="5" t="e">
        <f>#REF!</f>
        <v>#REF!</v>
      </c>
      <c r="W73" s="5" t="e">
        <f>#REF!</f>
        <v>#REF!</v>
      </c>
      <c r="X73" s="5" t="e">
        <f>#REF!</f>
        <v>#REF!</v>
      </c>
      <c r="Y73" s="5" t="e">
        <f>#REF!</f>
        <v>#REF!</v>
      </c>
      <c r="Z73" s="5" t="e">
        <f>#REF!</f>
        <v>#REF!</v>
      </c>
      <c r="AA73" s="6">
        <f>№1!Q78</f>
        <v>-2.4499999999999999E-4</v>
      </c>
      <c r="AB73" s="6" t="e">
        <f>#REF!</f>
        <v>#REF!</v>
      </c>
      <c r="AC73" s="6" t="e">
        <f>#REF!</f>
        <v>#REF!</v>
      </c>
      <c r="AD73" s="6" t="e">
        <f>#REF!</f>
        <v>#REF!</v>
      </c>
      <c r="AE73" s="6" t="e">
        <f>#REF!</f>
        <v>#REF!</v>
      </c>
      <c r="AF73" s="6" t="e">
        <f>#REF!</f>
        <v>#REF!</v>
      </c>
      <c r="AG73" s="6" t="e">
        <f>#REF!</f>
        <v>#REF!</v>
      </c>
      <c r="AH73" s="6" t="e">
        <f>#REF!</f>
        <v>#REF!</v>
      </c>
      <c r="AI73" s="5">
        <f>№1!S78</f>
        <v>21.147133</v>
      </c>
      <c r="AJ73" s="5" t="e">
        <f>#REF!</f>
        <v>#REF!</v>
      </c>
      <c r="AK73" s="5" t="e">
        <f>#REF!</f>
        <v>#REF!</v>
      </c>
      <c r="AL73" s="5" t="e">
        <f>#REF!</f>
        <v>#REF!</v>
      </c>
      <c r="AM73" s="5" t="e">
        <f>#REF!</f>
        <v>#REF!</v>
      </c>
      <c r="AN73" s="5" t="e">
        <f>#REF!</f>
        <v>#REF!</v>
      </c>
      <c r="AO73" s="5" t="e">
        <f>#REF!</f>
        <v>#REF!</v>
      </c>
      <c r="AP73" s="5" t="e">
        <f>#REF!</f>
        <v>#REF!</v>
      </c>
      <c r="AQ73" s="6">
        <f>№1!T78</f>
        <v>163.70370030138139</v>
      </c>
      <c r="AR73" s="6" t="e">
        <f>#REF!</f>
        <v>#REF!</v>
      </c>
      <c r="AS73" s="6" t="e">
        <f>#REF!</f>
        <v>#REF!</v>
      </c>
      <c r="AT73" s="6" t="e">
        <f>#REF!</f>
        <v>#REF!</v>
      </c>
      <c r="AU73" s="6" t="e">
        <f>#REF!</f>
        <v>#REF!</v>
      </c>
      <c r="AV73" s="6" t="e">
        <f>#REF!</f>
        <v>#REF!</v>
      </c>
      <c r="AW73" s="6" t="e">
        <f>#REF!</f>
        <v>#REF!</v>
      </c>
      <c r="AX73" s="6" t="e">
        <f>#REF!</f>
        <v>#REF!</v>
      </c>
    </row>
    <row r="74" spans="1:50" x14ac:dyDescent="0.25">
      <c r="A74" s="4" t="e">
        <f>#REF!</f>
        <v>#REF!</v>
      </c>
      <c r="B74" s="4" t="e">
        <f t="shared" si="7"/>
        <v>#REF!</v>
      </c>
      <c r="C74" s="5">
        <f>№1!U79</f>
        <v>7.7104531027155474</v>
      </c>
      <c r="D74" s="5" t="e">
        <f>#REF!</f>
        <v>#REF!</v>
      </c>
      <c r="E74" s="5" t="e">
        <f>#REF!</f>
        <v>#REF!</v>
      </c>
      <c r="F74" s="5" t="e">
        <f>#REF!</f>
        <v>#REF!</v>
      </c>
      <c r="G74" s="5" t="e">
        <f>#REF!</f>
        <v>#REF!</v>
      </c>
      <c r="H74" s="5" t="e">
        <f>#REF!</f>
        <v>#REF!</v>
      </c>
      <c r="I74" s="5" t="e">
        <f>#REF!</f>
        <v>#REF!</v>
      </c>
      <c r="J74" s="5" t="e">
        <f>#REF!</f>
        <v>#REF!</v>
      </c>
      <c r="K74" s="6">
        <f>№1!P79</f>
        <v>38.870798999999998</v>
      </c>
      <c r="L74" s="6" t="e">
        <f>#REF!</f>
        <v>#REF!</v>
      </c>
      <c r="M74" s="6" t="e">
        <f>#REF!</f>
        <v>#REF!</v>
      </c>
      <c r="N74" s="6" t="e">
        <f>#REF!</f>
        <v>#REF!</v>
      </c>
      <c r="O74" s="6" t="e">
        <f>#REF!</f>
        <v>#REF!</v>
      </c>
      <c r="P74" s="6" t="e">
        <f>#REF!</f>
        <v>#REF!</v>
      </c>
      <c r="Q74" s="6" t="e">
        <f>#REF!</f>
        <v>#REF!</v>
      </c>
      <c r="R74" s="6" t="e">
        <f>#REF!</f>
        <v>#REF!</v>
      </c>
      <c r="S74" s="5">
        <f>№1!R79</f>
        <v>0.17804900000000001</v>
      </c>
      <c r="T74" s="5" t="e">
        <f>#REF!</f>
        <v>#REF!</v>
      </c>
      <c r="U74" s="5" t="e">
        <f>#REF!</f>
        <v>#REF!</v>
      </c>
      <c r="V74" s="5" t="e">
        <f>#REF!</f>
        <v>#REF!</v>
      </c>
      <c r="W74" s="5" t="e">
        <f>#REF!</f>
        <v>#REF!</v>
      </c>
      <c r="X74" s="5" t="e">
        <f>#REF!</f>
        <v>#REF!</v>
      </c>
      <c r="Y74" s="5" t="e">
        <f>#REF!</f>
        <v>#REF!</v>
      </c>
      <c r="Z74" s="5" t="e">
        <f>#REF!</f>
        <v>#REF!</v>
      </c>
      <c r="AA74" s="6">
        <f>№1!Q79</f>
        <v>-5.0600000000000005E-4</v>
      </c>
      <c r="AB74" s="6" t="e">
        <f>#REF!</f>
        <v>#REF!</v>
      </c>
      <c r="AC74" s="6" t="e">
        <f>#REF!</f>
        <v>#REF!</v>
      </c>
      <c r="AD74" s="6" t="e">
        <f>#REF!</f>
        <v>#REF!</v>
      </c>
      <c r="AE74" s="6" t="e">
        <f>#REF!</f>
        <v>#REF!</v>
      </c>
      <c r="AF74" s="6" t="e">
        <f>#REF!</f>
        <v>#REF!</v>
      </c>
      <c r="AG74" s="6" t="e">
        <f>#REF!</f>
        <v>#REF!</v>
      </c>
      <c r="AH74" s="6" t="e">
        <f>#REF!</f>
        <v>#REF!</v>
      </c>
      <c r="AI74" s="5">
        <f>№1!S79</f>
        <v>20.870799000000002</v>
      </c>
      <c r="AJ74" s="5" t="e">
        <f>#REF!</f>
        <v>#REF!</v>
      </c>
      <c r="AK74" s="5" t="e">
        <f>#REF!</f>
        <v>#REF!</v>
      </c>
      <c r="AL74" s="5" t="e">
        <f>#REF!</f>
        <v>#REF!</v>
      </c>
      <c r="AM74" s="5" t="e">
        <f>#REF!</f>
        <v>#REF!</v>
      </c>
      <c r="AN74" s="5" t="e">
        <f>#REF!</f>
        <v>#REF!</v>
      </c>
      <c r="AO74" s="5" t="e">
        <f>#REF!</f>
        <v>#REF!</v>
      </c>
      <c r="AP74" s="5" t="e">
        <f>#REF!</f>
        <v>#REF!</v>
      </c>
      <c r="AQ74" s="6">
        <f>№1!T79</f>
        <v>153.39592247614678</v>
      </c>
      <c r="AR74" s="6" t="e">
        <f>#REF!</f>
        <v>#REF!</v>
      </c>
      <c r="AS74" s="6" t="e">
        <f>#REF!</f>
        <v>#REF!</v>
      </c>
      <c r="AT74" s="6" t="e">
        <f>#REF!</f>
        <v>#REF!</v>
      </c>
      <c r="AU74" s="6" t="e">
        <f>#REF!</f>
        <v>#REF!</v>
      </c>
      <c r="AV74" s="6" t="e">
        <f>#REF!</f>
        <v>#REF!</v>
      </c>
      <c r="AW74" s="6" t="e">
        <f>#REF!</f>
        <v>#REF!</v>
      </c>
      <c r="AX74" s="6" t="e">
        <f>#REF!</f>
        <v>#REF!</v>
      </c>
    </row>
    <row r="75" spans="1:50" x14ac:dyDescent="0.25">
      <c r="A75" s="3" t="e">
        <f>#REF!</f>
        <v>#REF!</v>
      </c>
      <c r="B75" s="4" t="e">
        <f t="shared" si="7"/>
        <v>#REF!</v>
      </c>
      <c r="C75" s="5">
        <f>№1!U80</f>
        <v>7.4445628370145593</v>
      </c>
      <c r="D75" s="5" t="e">
        <f>#REF!</f>
        <v>#REF!</v>
      </c>
      <c r="E75" s="5" t="e">
        <f>#REF!</f>
        <v>#REF!</v>
      </c>
      <c r="F75" s="5" t="e">
        <f>#REF!</f>
        <v>#REF!</v>
      </c>
      <c r="G75" s="5" t="e">
        <f>#REF!</f>
        <v>#REF!</v>
      </c>
      <c r="H75" s="5" t="e">
        <f>#REF!</f>
        <v>#REF!</v>
      </c>
      <c r="I75" s="5" t="e">
        <f>#REF!</f>
        <v>#REF!</v>
      </c>
      <c r="J75" s="5" t="e">
        <f>#REF!</f>
        <v>#REF!</v>
      </c>
      <c r="K75" s="6">
        <f>№1!P80</f>
        <v>38.718392000000001</v>
      </c>
      <c r="L75" s="6" t="e">
        <f>#REF!</f>
        <v>#REF!</v>
      </c>
      <c r="M75" s="6" t="e">
        <f>#REF!</f>
        <v>#REF!</v>
      </c>
      <c r="N75" s="6" t="e">
        <f>#REF!</f>
        <v>#REF!</v>
      </c>
      <c r="O75" s="6" t="e">
        <f>#REF!</f>
        <v>#REF!</v>
      </c>
      <c r="P75" s="6" t="e">
        <f>#REF!</f>
        <v>#REF!</v>
      </c>
      <c r="Q75" s="6" t="e">
        <f>#REF!</f>
        <v>#REF!</v>
      </c>
      <c r="R75" s="6" t="e">
        <f>#REF!</f>
        <v>#REF!</v>
      </c>
      <c r="S75" s="5">
        <f>№1!R80</f>
        <v>0.17877199999999999</v>
      </c>
      <c r="T75" s="5" t="e">
        <f>#REF!</f>
        <v>#REF!</v>
      </c>
      <c r="U75" s="5" t="e">
        <f>#REF!</f>
        <v>#REF!</v>
      </c>
      <c r="V75" s="5" t="e">
        <f>#REF!</f>
        <v>#REF!</v>
      </c>
      <c r="W75" s="5" t="e">
        <f>#REF!</f>
        <v>#REF!</v>
      </c>
      <c r="X75" s="5" t="e">
        <f>#REF!</f>
        <v>#REF!</v>
      </c>
      <c r="Y75" s="5" t="e">
        <f>#REF!</f>
        <v>#REF!</v>
      </c>
      <c r="Z75" s="5" t="e">
        <f>#REF!</f>
        <v>#REF!</v>
      </c>
      <c r="AA75" s="6">
        <f>№1!Q80</f>
        <v>-1.7200000000000001E-4</v>
      </c>
      <c r="AB75" s="6" t="e">
        <f>#REF!</f>
        <v>#REF!</v>
      </c>
      <c r="AC75" s="6" t="e">
        <f>#REF!</f>
        <v>#REF!</v>
      </c>
      <c r="AD75" s="6" t="e">
        <f>#REF!</f>
        <v>#REF!</v>
      </c>
      <c r="AE75" s="6" t="e">
        <f>#REF!</f>
        <v>#REF!</v>
      </c>
      <c r="AF75" s="6" t="e">
        <f>#REF!</f>
        <v>#REF!</v>
      </c>
      <c r="AG75" s="6" t="e">
        <f>#REF!</f>
        <v>#REF!</v>
      </c>
      <c r="AH75" s="6" t="e">
        <f>#REF!</f>
        <v>#REF!</v>
      </c>
      <c r="AI75" s="5">
        <f>№1!S80</f>
        <v>20.718392000000001</v>
      </c>
      <c r="AJ75" s="5" t="e">
        <f>#REF!</f>
        <v>#REF!</v>
      </c>
      <c r="AK75" s="5" t="e">
        <f>#REF!</f>
        <v>#REF!</v>
      </c>
      <c r="AL75" s="5" t="e">
        <f>#REF!</f>
        <v>#REF!</v>
      </c>
      <c r="AM75" s="5" t="e">
        <f>#REF!</f>
        <v>#REF!</v>
      </c>
      <c r="AN75" s="5" t="e">
        <f>#REF!</f>
        <v>#REF!</v>
      </c>
      <c r="AO75" s="5" t="e">
        <f>#REF!</f>
        <v>#REF!</v>
      </c>
      <c r="AP75" s="5" t="e">
        <f>#REF!</f>
        <v>#REF!</v>
      </c>
      <c r="AQ75" s="6">
        <f>№1!T80</f>
        <v>147.46371081134751</v>
      </c>
      <c r="AR75" s="6" t="e">
        <f>#REF!</f>
        <v>#REF!</v>
      </c>
      <c r="AS75" s="6" t="e">
        <f>#REF!</f>
        <v>#REF!</v>
      </c>
      <c r="AT75" s="6" t="e">
        <f>#REF!</f>
        <v>#REF!</v>
      </c>
      <c r="AU75" s="6" t="e">
        <f>#REF!</f>
        <v>#REF!</v>
      </c>
      <c r="AV75" s="6" t="e">
        <f>#REF!</f>
        <v>#REF!</v>
      </c>
      <c r="AW75" s="6" t="e">
        <f>#REF!</f>
        <v>#REF!</v>
      </c>
      <c r="AX75" s="6" t="e">
        <f>#REF!</f>
        <v>#REF!</v>
      </c>
    </row>
    <row r="76" spans="1:50" x14ac:dyDescent="0.25">
      <c r="A76" s="4" t="e">
        <f>#REF!</f>
        <v>#REF!</v>
      </c>
      <c r="B76" s="4" t="e">
        <f t="shared" si="7"/>
        <v>#REF!</v>
      </c>
      <c r="C76" s="5">
        <f>№1!U81</f>
        <v>7.2534897219713308</v>
      </c>
      <c r="D76" s="5" t="e">
        <f>#REF!</f>
        <v>#REF!</v>
      </c>
      <c r="E76" s="5" t="e">
        <f>#REF!</f>
        <v>#REF!</v>
      </c>
      <c r="F76" s="5" t="e">
        <f>#REF!</f>
        <v>#REF!</v>
      </c>
      <c r="G76" s="5" t="e">
        <f>#REF!</f>
        <v>#REF!</v>
      </c>
      <c r="H76" s="5" t="e">
        <f>#REF!</f>
        <v>#REF!</v>
      </c>
      <c r="I76" s="5" t="e">
        <f>#REF!</f>
        <v>#REF!</v>
      </c>
      <c r="J76" s="5" t="e">
        <f>#REF!</f>
        <v>#REF!</v>
      </c>
      <c r="K76" s="6">
        <f>№1!P81</f>
        <v>38.605469999999997</v>
      </c>
      <c r="L76" s="6" t="e">
        <f>#REF!</f>
        <v>#REF!</v>
      </c>
      <c r="M76" s="6" t="e">
        <f>#REF!</f>
        <v>#REF!</v>
      </c>
      <c r="N76" s="6" t="e">
        <f>#REF!</f>
        <v>#REF!</v>
      </c>
      <c r="O76" s="6" t="e">
        <f>#REF!</f>
        <v>#REF!</v>
      </c>
      <c r="P76" s="6" t="e">
        <f>#REF!</f>
        <v>#REF!</v>
      </c>
      <c r="Q76" s="6" t="e">
        <f>#REF!</f>
        <v>#REF!</v>
      </c>
      <c r="R76" s="6" t="e">
        <f>#REF!</f>
        <v>#REF!</v>
      </c>
      <c r="S76" s="5">
        <f>№1!R81</f>
        <v>0.178429</v>
      </c>
      <c r="T76" s="5" t="e">
        <f>#REF!</f>
        <v>#REF!</v>
      </c>
      <c r="U76" s="5" t="e">
        <f>#REF!</f>
        <v>#REF!</v>
      </c>
      <c r="V76" s="5" t="e">
        <f>#REF!</f>
        <v>#REF!</v>
      </c>
      <c r="W76" s="5" t="e">
        <f>#REF!</f>
        <v>#REF!</v>
      </c>
      <c r="X76" s="5" t="e">
        <f>#REF!</f>
        <v>#REF!</v>
      </c>
      <c r="Y76" s="5" t="e">
        <f>#REF!</f>
        <v>#REF!</v>
      </c>
      <c r="Z76" s="5" t="e">
        <f>#REF!</f>
        <v>#REF!</v>
      </c>
      <c r="AA76" s="6">
        <f>№1!Q81</f>
        <v>-4.95E-4</v>
      </c>
      <c r="AB76" s="6" t="e">
        <f>#REF!</f>
        <v>#REF!</v>
      </c>
      <c r="AC76" s="6" t="e">
        <f>#REF!</f>
        <v>#REF!</v>
      </c>
      <c r="AD76" s="6" t="e">
        <f>#REF!</f>
        <v>#REF!</v>
      </c>
      <c r="AE76" s="6" t="e">
        <f>#REF!</f>
        <v>#REF!</v>
      </c>
      <c r="AF76" s="6" t="e">
        <f>#REF!</f>
        <v>#REF!</v>
      </c>
      <c r="AG76" s="6" t="e">
        <f>#REF!</f>
        <v>#REF!</v>
      </c>
      <c r="AH76" s="6" t="e">
        <f>#REF!</f>
        <v>#REF!</v>
      </c>
      <c r="AI76" s="5">
        <f>№1!S81</f>
        <v>20.60547</v>
      </c>
      <c r="AJ76" s="5" t="e">
        <f>#REF!</f>
        <v>#REF!</v>
      </c>
      <c r="AK76" s="5" t="e">
        <f>#REF!</f>
        <v>#REF!</v>
      </c>
      <c r="AL76" s="5" t="e">
        <f>#REF!</f>
        <v>#REF!</v>
      </c>
      <c r="AM76" s="5" t="e">
        <f>#REF!</f>
        <v>#REF!</v>
      </c>
      <c r="AN76" s="5" t="e">
        <f>#REF!</f>
        <v>#REF!</v>
      </c>
      <c r="AO76" s="5" t="e">
        <f>#REF!</f>
        <v>#REF!</v>
      </c>
      <c r="AP76" s="5" t="e">
        <f>#REF!</f>
        <v>#REF!</v>
      </c>
      <c r="AQ76" s="6">
        <f>№1!T81</f>
        <v>143.92267247403149</v>
      </c>
      <c r="AR76" s="6" t="e">
        <f>#REF!</f>
        <v>#REF!</v>
      </c>
      <c r="AS76" s="6" t="e">
        <f>#REF!</f>
        <v>#REF!</v>
      </c>
      <c r="AT76" s="6" t="e">
        <f>#REF!</f>
        <v>#REF!</v>
      </c>
      <c r="AU76" s="6" t="e">
        <f>#REF!</f>
        <v>#REF!</v>
      </c>
      <c r="AV76" s="6" t="e">
        <f>#REF!</f>
        <v>#REF!</v>
      </c>
      <c r="AW76" s="6" t="e">
        <f>#REF!</f>
        <v>#REF!</v>
      </c>
      <c r="AX76" s="6" t="e">
        <f>#REF!</f>
        <v>#REF!</v>
      </c>
    </row>
    <row r="77" spans="1:50" x14ac:dyDescent="0.25">
      <c r="A77" s="3" t="e">
        <f>#REF!</f>
        <v>#REF!</v>
      </c>
      <c r="B77" s="4" t="e">
        <f t="shared" si="7"/>
        <v>#REF!</v>
      </c>
      <c r="C77" s="5">
        <f>№1!U82</f>
        <v>7.0796828019620133</v>
      </c>
      <c r="D77" s="5" t="e">
        <f>#REF!</f>
        <v>#REF!</v>
      </c>
      <c r="E77" s="5" t="e">
        <f>#REF!</f>
        <v>#REF!</v>
      </c>
      <c r="F77" s="5" t="e">
        <f>#REF!</f>
        <v>#REF!</v>
      </c>
      <c r="G77" s="5" t="e">
        <f>#REF!</f>
        <v>#REF!</v>
      </c>
      <c r="H77" s="5" t="e">
        <f>#REF!</f>
        <v>#REF!</v>
      </c>
      <c r="I77" s="5" t="e">
        <f>#REF!</f>
        <v>#REF!</v>
      </c>
      <c r="J77" s="5" t="e">
        <f>#REF!</f>
        <v>#REF!</v>
      </c>
      <c r="K77" s="6">
        <f>№1!P82</f>
        <v>38.500138</v>
      </c>
      <c r="L77" s="6" t="e">
        <f>#REF!</f>
        <v>#REF!</v>
      </c>
      <c r="M77" s="6" t="e">
        <f>#REF!</f>
        <v>#REF!</v>
      </c>
      <c r="N77" s="6" t="e">
        <f>#REF!</f>
        <v>#REF!</v>
      </c>
      <c r="O77" s="6" t="e">
        <f>#REF!</f>
        <v>#REF!</v>
      </c>
      <c r="P77" s="6" t="e">
        <f>#REF!</f>
        <v>#REF!</v>
      </c>
      <c r="Q77" s="6" t="e">
        <f>#REF!</f>
        <v>#REF!</v>
      </c>
      <c r="R77" s="6" t="e">
        <f>#REF!</f>
        <v>#REF!</v>
      </c>
      <c r="S77" s="5">
        <f>№1!R82</f>
        <v>0.17917</v>
      </c>
      <c r="T77" s="5" t="e">
        <f>#REF!</f>
        <v>#REF!</v>
      </c>
      <c r="U77" s="5" t="e">
        <f>#REF!</f>
        <v>#REF!</v>
      </c>
      <c r="V77" s="5" t="e">
        <f>#REF!</f>
        <v>#REF!</v>
      </c>
      <c r="W77" s="5" t="e">
        <f>#REF!</f>
        <v>#REF!</v>
      </c>
      <c r="X77" s="5" t="e">
        <f>#REF!</f>
        <v>#REF!</v>
      </c>
      <c r="Y77" s="5" t="e">
        <f>#REF!</f>
        <v>#REF!</v>
      </c>
      <c r="Z77" s="5" t="e">
        <f>#REF!</f>
        <v>#REF!</v>
      </c>
      <c r="AA77" s="6">
        <f>№1!Q82</f>
        <v>-4.5600000000000003E-4</v>
      </c>
      <c r="AB77" s="6" t="e">
        <f>#REF!</f>
        <v>#REF!</v>
      </c>
      <c r="AC77" s="6" t="e">
        <f>#REF!</f>
        <v>#REF!</v>
      </c>
      <c r="AD77" s="6" t="e">
        <f>#REF!</f>
        <v>#REF!</v>
      </c>
      <c r="AE77" s="6" t="e">
        <f>#REF!</f>
        <v>#REF!</v>
      </c>
      <c r="AF77" s="6" t="e">
        <f>#REF!</f>
        <v>#REF!</v>
      </c>
      <c r="AG77" s="6" t="e">
        <f>#REF!</f>
        <v>#REF!</v>
      </c>
      <c r="AH77" s="6" t="e">
        <f>#REF!</f>
        <v>#REF!</v>
      </c>
      <c r="AI77" s="5">
        <f>№1!S82</f>
        <v>20.500138</v>
      </c>
      <c r="AJ77" s="5" t="e">
        <f>#REF!</f>
        <v>#REF!</v>
      </c>
      <c r="AK77" s="5" t="e">
        <f>#REF!</f>
        <v>#REF!</v>
      </c>
      <c r="AL77" s="5" t="e">
        <f>#REF!</f>
        <v>#REF!</v>
      </c>
      <c r="AM77" s="5" t="e">
        <f>#REF!</f>
        <v>#REF!</v>
      </c>
      <c r="AN77" s="5" t="e">
        <f>#REF!</f>
        <v>#REF!</v>
      </c>
      <c r="AO77" s="5" t="e">
        <f>#REF!</f>
        <v>#REF!</v>
      </c>
      <c r="AP77" s="5" t="e">
        <f>#REF!</f>
        <v>#REF!</v>
      </c>
      <c r="AQ77" s="6">
        <f>№1!T82</f>
        <v>139.86292083962547</v>
      </c>
      <c r="AR77" s="6" t="e">
        <f>#REF!</f>
        <v>#REF!</v>
      </c>
      <c r="AS77" s="6" t="e">
        <f>#REF!</f>
        <v>#REF!</v>
      </c>
      <c r="AT77" s="6" t="e">
        <f>#REF!</f>
        <v>#REF!</v>
      </c>
      <c r="AU77" s="6" t="e">
        <f>#REF!</f>
        <v>#REF!</v>
      </c>
      <c r="AV77" s="6" t="e">
        <f>#REF!</f>
        <v>#REF!</v>
      </c>
      <c r="AW77" s="6" t="e">
        <f>#REF!</f>
        <v>#REF!</v>
      </c>
      <c r="AX77" s="6" t="e">
        <f>#REF!</f>
        <v>#REF!</v>
      </c>
    </row>
    <row r="78" spans="1:50" x14ac:dyDescent="0.25">
      <c r="A78" s="4" t="e">
        <f>#REF!</f>
        <v>#REF!</v>
      </c>
      <c r="B78" s="4" t="e">
        <f t="shared" si="7"/>
        <v>#REF!</v>
      </c>
      <c r="C78" s="5">
        <f>№1!U83</f>
        <v>7.2887323035725782</v>
      </c>
      <c r="D78" s="5" t="e">
        <f>#REF!</f>
        <v>#REF!</v>
      </c>
      <c r="E78" s="5" t="e">
        <f>#REF!</f>
        <v>#REF!</v>
      </c>
      <c r="F78" s="5" t="e">
        <f>#REF!</f>
        <v>#REF!</v>
      </c>
      <c r="G78" s="5" t="e">
        <f>#REF!</f>
        <v>#REF!</v>
      </c>
      <c r="H78" s="5" t="e">
        <f>#REF!</f>
        <v>#REF!</v>
      </c>
      <c r="I78" s="5" t="e">
        <f>#REF!</f>
        <v>#REF!</v>
      </c>
      <c r="J78" s="5" t="e">
        <f>#REF!</f>
        <v>#REF!</v>
      </c>
      <c r="K78" s="6">
        <f>№1!P83</f>
        <v>38.626519999999999</v>
      </c>
      <c r="L78" s="6" t="e">
        <f>#REF!</f>
        <v>#REF!</v>
      </c>
      <c r="M78" s="6" t="e">
        <f>#REF!</f>
        <v>#REF!</v>
      </c>
      <c r="N78" s="6" t="e">
        <f>#REF!</f>
        <v>#REF!</v>
      </c>
      <c r="O78" s="6" t="e">
        <f>#REF!</f>
        <v>#REF!</v>
      </c>
      <c r="P78" s="6" t="e">
        <f>#REF!</f>
        <v>#REF!</v>
      </c>
      <c r="Q78" s="6" t="e">
        <f>#REF!</f>
        <v>#REF!</v>
      </c>
      <c r="R78" s="6" t="e">
        <f>#REF!</f>
        <v>#REF!</v>
      </c>
      <c r="S78" s="5">
        <f>№1!R83</f>
        <v>0.177618</v>
      </c>
      <c r="T78" s="5" t="e">
        <f>#REF!</f>
        <v>#REF!</v>
      </c>
      <c r="U78" s="5" t="e">
        <f>#REF!</f>
        <v>#REF!</v>
      </c>
      <c r="V78" s="5" t="e">
        <f>#REF!</f>
        <v>#REF!</v>
      </c>
      <c r="W78" s="5" t="e">
        <f>#REF!</f>
        <v>#REF!</v>
      </c>
      <c r="X78" s="5" t="e">
        <f>#REF!</f>
        <v>#REF!</v>
      </c>
      <c r="Y78" s="5" t="e">
        <f>#REF!</f>
        <v>#REF!</v>
      </c>
      <c r="Z78" s="5" t="e">
        <f>#REF!</f>
        <v>#REF!</v>
      </c>
      <c r="AA78" s="6">
        <f>№1!Q83</f>
        <v>-2.03E-4</v>
      </c>
      <c r="AB78" s="6" t="e">
        <f>#REF!</f>
        <v>#REF!</v>
      </c>
      <c r="AC78" s="6" t="e">
        <f>#REF!</f>
        <v>#REF!</v>
      </c>
      <c r="AD78" s="6" t="e">
        <f>#REF!</f>
        <v>#REF!</v>
      </c>
      <c r="AE78" s="6" t="e">
        <f>#REF!</f>
        <v>#REF!</v>
      </c>
      <c r="AF78" s="6" t="e">
        <f>#REF!</f>
        <v>#REF!</v>
      </c>
      <c r="AG78" s="6" t="e">
        <f>#REF!</f>
        <v>#REF!</v>
      </c>
      <c r="AH78" s="6" t="e">
        <f>#REF!</f>
        <v>#REF!</v>
      </c>
      <c r="AI78" s="5">
        <f>№1!S83</f>
        <v>20.626519999999999</v>
      </c>
      <c r="AJ78" s="5" t="e">
        <f>#REF!</f>
        <v>#REF!</v>
      </c>
      <c r="AK78" s="5" t="e">
        <f>#REF!</f>
        <v>#REF!</v>
      </c>
      <c r="AL78" s="5" t="e">
        <f>#REF!</f>
        <v>#REF!</v>
      </c>
      <c r="AM78" s="5" t="e">
        <f>#REF!</f>
        <v>#REF!</v>
      </c>
      <c r="AN78" s="5" t="e">
        <f>#REF!</f>
        <v>#REF!</v>
      </c>
      <c r="AO78" s="5" t="e">
        <f>#REF!</f>
        <v>#REF!</v>
      </c>
      <c r="AP78" s="5" t="e">
        <f>#REF!</f>
        <v>#REF!</v>
      </c>
      <c r="AQ78" s="6">
        <f>№1!T83</f>
        <v>145.28845550411879</v>
      </c>
      <c r="AR78" s="6" t="e">
        <f>#REF!</f>
        <v>#REF!</v>
      </c>
      <c r="AS78" s="6" t="e">
        <f>#REF!</f>
        <v>#REF!</v>
      </c>
      <c r="AT78" s="6" t="e">
        <f>#REF!</f>
        <v>#REF!</v>
      </c>
      <c r="AU78" s="6" t="e">
        <f>#REF!</f>
        <v>#REF!</v>
      </c>
      <c r="AV78" s="6" t="e">
        <f>#REF!</f>
        <v>#REF!</v>
      </c>
      <c r="AW78" s="6" t="e">
        <f>#REF!</f>
        <v>#REF!</v>
      </c>
      <c r="AX78" s="6" t="e">
        <f>#REF!</f>
        <v>#REF!</v>
      </c>
    </row>
    <row r="79" spans="1:50" x14ac:dyDescent="0.25">
      <c r="A79" s="3" t="e">
        <f>#REF!</f>
        <v>#REF!</v>
      </c>
      <c r="B79" s="4" t="e">
        <f t="shared" si="7"/>
        <v>#REF!</v>
      </c>
      <c r="C79" s="5">
        <f>№1!U84</f>
        <v>6.7487291695587164</v>
      </c>
      <c r="D79" s="5" t="e">
        <f>#REF!</f>
        <v>#REF!</v>
      </c>
      <c r="E79" s="5" t="e">
        <f>#REF!</f>
        <v>#REF!</v>
      </c>
      <c r="F79" s="5" t="e">
        <f>#REF!</f>
        <v>#REF!</v>
      </c>
      <c r="G79" s="5" t="e">
        <f>#REF!</f>
        <v>#REF!</v>
      </c>
      <c r="H79" s="5" t="e">
        <f>#REF!</f>
        <v>#REF!</v>
      </c>
      <c r="I79" s="5" t="e">
        <f>#REF!</f>
        <v>#REF!</v>
      </c>
      <c r="J79" s="5" t="e">
        <f>#REF!</f>
        <v>#REF!</v>
      </c>
      <c r="K79" s="6">
        <f>№1!P84</f>
        <v>38.29222</v>
      </c>
      <c r="L79" s="6" t="e">
        <f>#REF!</f>
        <v>#REF!</v>
      </c>
      <c r="M79" s="6" t="e">
        <f>#REF!</f>
        <v>#REF!</v>
      </c>
      <c r="N79" s="6" t="e">
        <f>#REF!</f>
        <v>#REF!</v>
      </c>
      <c r="O79" s="6" t="e">
        <f>#REF!</f>
        <v>#REF!</v>
      </c>
      <c r="P79" s="6" t="e">
        <f>#REF!</f>
        <v>#REF!</v>
      </c>
      <c r="Q79" s="6" t="e">
        <f>#REF!</f>
        <v>#REF!</v>
      </c>
      <c r="R79" s="6" t="e">
        <f>#REF!</f>
        <v>#REF!</v>
      </c>
      <c r="S79" s="5">
        <f>№1!R84</f>
        <v>0.176956</v>
      </c>
      <c r="T79" s="5" t="e">
        <f>#REF!</f>
        <v>#REF!</v>
      </c>
      <c r="U79" s="5" t="e">
        <f>#REF!</f>
        <v>#REF!</v>
      </c>
      <c r="V79" s="5" t="e">
        <f>#REF!</f>
        <v>#REF!</v>
      </c>
      <c r="W79" s="5" t="e">
        <f>#REF!</f>
        <v>#REF!</v>
      </c>
      <c r="X79" s="5" t="e">
        <f>#REF!</f>
        <v>#REF!</v>
      </c>
      <c r="Y79" s="5" t="e">
        <f>#REF!</f>
        <v>#REF!</v>
      </c>
      <c r="Z79" s="5" t="e">
        <f>#REF!</f>
        <v>#REF!</v>
      </c>
      <c r="AA79" s="6">
        <f>№1!Q84</f>
        <v>-2.1900000000000001E-4</v>
      </c>
      <c r="AB79" s="6" t="e">
        <f>#REF!</f>
        <v>#REF!</v>
      </c>
      <c r="AC79" s="6" t="e">
        <f>#REF!</f>
        <v>#REF!</v>
      </c>
      <c r="AD79" s="6" t="e">
        <f>#REF!</f>
        <v>#REF!</v>
      </c>
      <c r="AE79" s="6" t="e">
        <f>#REF!</f>
        <v>#REF!</v>
      </c>
      <c r="AF79" s="6" t="e">
        <f>#REF!</f>
        <v>#REF!</v>
      </c>
      <c r="AG79" s="6" t="e">
        <f>#REF!</f>
        <v>#REF!</v>
      </c>
      <c r="AH79" s="6" t="e">
        <f>#REF!</f>
        <v>#REF!</v>
      </c>
      <c r="AI79" s="5">
        <f>№1!S84</f>
        <v>20.29222</v>
      </c>
      <c r="AJ79" s="5" t="e">
        <f>#REF!</f>
        <v>#REF!</v>
      </c>
      <c r="AK79" s="5" t="e">
        <f>#REF!</f>
        <v>#REF!</v>
      </c>
      <c r="AL79" s="5" t="e">
        <f>#REF!</f>
        <v>#REF!</v>
      </c>
      <c r="AM79" s="5" t="e">
        <f>#REF!</f>
        <v>#REF!</v>
      </c>
      <c r="AN79" s="5" t="e">
        <f>#REF!</f>
        <v>#REF!</v>
      </c>
      <c r="AO79" s="5" t="e">
        <f>#REF!</f>
        <v>#REF!</v>
      </c>
      <c r="AP79" s="5" t="e">
        <f>#REF!</f>
        <v>#REF!</v>
      </c>
      <c r="AQ79" s="6">
        <f>№1!T84</f>
        <v>134.93332957488016</v>
      </c>
      <c r="AR79" s="6" t="e">
        <f>#REF!</f>
        <v>#REF!</v>
      </c>
      <c r="AS79" s="6" t="e">
        <f>#REF!</f>
        <v>#REF!</v>
      </c>
      <c r="AT79" s="6" t="e">
        <f>#REF!</f>
        <v>#REF!</v>
      </c>
      <c r="AU79" s="6" t="e">
        <f>#REF!</f>
        <v>#REF!</v>
      </c>
      <c r="AV79" s="6" t="e">
        <f>#REF!</f>
        <v>#REF!</v>
      </c>
      <c r="AW79" s="6" t="e">
        <f>#REF!</f>
        <v>#REF!</v>
      </c>
      <c r="AX79" s="6" t="e">
        <f>#REF!</f>
        <v>#REF!</v>
      </c>
    </row>
    <row r="80" spans="1:50" x14ac:dyDescent="0.25">
      <c r="A80" s="4" t="e">
        <f>#REF!</f>
        <v>#REF!</v>
      </c>
      <c r="B80" s="4" t="e">
        <f t="shared" si="7"/>
        <v>#REF!</v>
      </c>
      <c r="C80" s="5">
        <f>№1!U85</f>
        <v>6.488026275022766</v>
      </c>
      <c r="D80" s="5" t="e">
        <f>#REF!</f>
        <v>#REF!</v>
      </c>
      <c r="E80" s="5" t="e">
        <f>#REF!</f>
        <v>#REF!</v>
      </c>
      <c r="F80" s="5" t="e">
        <f>#REF!</f>
        <v>#REF!</v>
      </c>
      <c r="G80" s="5" t="e">
        <f>#REF!</f>
        <v>#REF!</v>
      </c>
      <c r="H80" s="5" t="e">
        <f>#REF!</f>
        <v>#REF!</v>
      </c>
      <c r="I80" s="5" t="e">
        <f>#REF!</f>
        <v>#REF!</v>
      </c>
      <c r="J80" s="5" t="e">
        <f>#REF!</f>
        <v>#REF!</v>
      </c>
      <c r="K80" s="6">
        <f>№1!P85</f>
        <v>38.121125999999997</v>
      </c>
      <c r="L80" s="6" t="e">
        <f>#REF!</f>
        <v>#REF!</v>
      </c>
      <c r="M80" s="6" t="e">
        <f>#REF!</f>
        <v>#REF!</v>
      </c>
      <c r="N80" s="6" t="e">
        <f>#REF!</f>
        <v>#REF!</v>
      </c>
      <c r="O80" s="6" t="e">
        <f>#REF!</f>
        <v>#REF!</v>
      </c>
      <c r="P80" s="6" t="e">
        <f>#REF!</f>
        <v>#REF!</v>
      </c>
      <c r="Q80" s="6" t="e">
        <f>#REF!</f>
        <v>#REF!</v>
      </c>
      <c r="R80" s="6" t="e">
        <f>#REF!</f>
        <v>#REF!</v>
      </c>
      <c r="S80" s="5">
        <f>№1!R85</f>
        <v>0.17784</v>
      </c>
      <c r="T80" s="5" t="e">
        <f>#REF!</f>
        <v>#REF!</v>
      </c>
      <c r="U80" s="5" t="e">
        <f>#REF!</f>
        <v>#REF!</v>
      </c>
      <c r="V80" s="5" t="e">
        <f>#REF!</f>
        <v>#REF!</v>
      </c>
      <c r="W80" s="5" t="e">
        <f>#REF!</f>
        <v>#REF!</v>
      </c>
      <c r="X80" s="5" t="e">
        <f>#REF!</f>
        <v>#REF!</v>
      </c>
      <c r="Y80" s="5" t="e">
        <f>#REF!</f>
        <v>#REF!</v>
      </c>
      <c r="Z80" s="5" t="e">
        <f>#REF!</f>
        <v>#REF!</v>
      </c>
      <c r="AA80" s="6">
        <f>№1!Q85</f>
        <v>-4.8999999999999998E-5</v>
      </c>
      <c r="AB80" s="6" t="e">
        <f>#REF!</f>
        <v>#REF!</v>
      </c>
      <c r="AC80" s="6" t="e">
        <f>#REF!</f>
        <v>#REF!</v>
      </c>
      <c r="AD80" s="6" t="e">
        <f>#REF!</f>
        <v>#REF!</v>
      </c>
      <c r="AE80" s="6" t="e">
        <f>#REF!</f>
        <v>#REF!</v>
      </c>
      <c r="AF80" s="6" t="e">
        <f>#REF!</f>
        <v>#REF!</v>
      </c>
      <c r="AG80" s="6" t="e">
        <f>#REF!</f>
        <v>#REF!</v>
      </c>
      <c r="AH80" s="6" t="e">
        <f>#REF!</f>
        <v>#REF!</v>
      </c>
      <c r="AI80" s="5">
        <f>№1!S85</f>
        <v>20.121126</v>
      </c>
      <c r="AJ80" s="5" t="e">
        <f>#REF!</f>
        <v>#REF!</v>
      </c>
      <c r="AK80" s="5" t="e">
        <f>#REF!</f>
        <v>#REF!</v>
      </c>
      <c r="AL80" s="5" t="e">
        <f>#REF!</f>
        <v>#REF!</v>
      </c>
      <c r="AM80" s="5" t="e">
        <f>#REF!</f>
        <v>#REF!</v>
      </c>
      <c r="AN80" s="5" t="e">
        <f>#REF!</f>
        <v>#REF!</v>
      </c>
      <c r="AO80" s="5" t="e">
        <f>#REF!</f>
        <v>#REF!</v>
      </c>
      <c r="AP80" s="5" t="e">
        <f>#REF!</f>
        <v>#REF!</v>
      </c>
      <c r="AQ80" s="6">
        <f>№1!T85</f>
        <v>129.02710583700329</v>
      </c>
      <c r="AR80" s="6" t="e">
        <f>#REF!</f>
        <v>#REF!</v>
      </c>
      <c r="AS80" s="6" t="e">
        <f>#REF!</f>
        <v>#REF!</v>
      </c>
      <c r="AT80" s="6" t="e">
        <f>#REF!</f>
        <v>#REF!</v>
      </c>
      <c r="AU80" s="6" t="e">
        <f>#REF!</f>
        <v>#REF!</v>
      </c>
      <c r="AV80" s="6" t="e">
        <f>#REF!</f>
        <v>#REF!</v>
      </c>
      <c r="AW80" s="6" t="e">
        <f>#REF!</f>
        <v>#REF!</v>
      </c>
      <c r="AX80" s="6" t="e">
        <f>#REF!</f>
        <v>#REF!</v>
      </c>
    </row>
    <row r="81" spans="1:50" x14ac:dyDescent="0.25">
      <c r="A81" s="3" t="e">
        <f>#REF!</f>
        <v>#REF!</v>
      </c>
      <c r="B81" s="4" t="e">
        <f t="shared" si="7"/>
        <v>#REF!</v>
      </c>
      <c r="C81" s="5">
        <f>№1!U86</f>
        <v>6.5005439666307856</v>
      </c>
      <c r="D81" s="5" t="e">
        <f>#REF!</f>
        <v>#REF!</v>
      </c>
      <c r="E81" s="5" t="e">
        <f>#REF!</f>
        <v>#REF!</v>
      </c>
      <c r="F81" s="5" t="e">
        <f>#REF!</f>
        <v>#REF!</v>
      </c>
      <c r="G81" s="5" t="e">
        <f>#REF!</f>
        <v>#REF!</v>
      </c>
      <c r="H81" s="5" t="e">
        <f>#REF!</f>
        <v>#REF!</v>
      </c>
      <c r="I81" s="5" t="e">
        <f>#REF!</f>
        <v>#REF!</v>
      </c>
      <c r="J81" s="5" t="e">
        <f>#REF!</f>
        <v>#REF!</v>
      </c>
      <c r="K81" s="6">
        <f>№1!P86</f>
        <v>38.129497000000001</v>
      </c>
      <c r="L81" s="6" t="e">
        <f>#REF!</f>
        <v>#REF!</v>
      </c>
      <c r="M81" s="6" t="e">
        <f>#REF!</f>
        <v>#REF!</v>
      </c>
      <c r="N81" s="6" t="e">
        <f>#REF!</f>
        <v>#REF!</v>
      </c>
      <c r="O81" s="6" t="e">
        <f>#REF!</f>
        <v>#REF!</v>
      </c>
      <c r="P81" s="6" t="e">
        <f>#REF!</f>
        <v>#REF!</v>
      </c>
      <c r="Q81" s="6" t="e">
        <f>#REF!</f>
        <v>#REF!</v>
      </c>
      <c r="R81" s="6" t="e">
        <f>#REF!</f>
        <v>#REF!</v>
      </c>
      <c r="S81" s="5">
        <f>№1!R86</f>
        <v>0.176733</v>
      </c>
      <c r="T81" s="5" t="e">
        <f>#REF!</f>
        <v>#REF!</v>
      </c>
      <c r="U81" s="5" t="e">
        <f>#REF!</f>
        <v>#REF!</v>
      </c>
      <c r="V81" s="5" t="e">
        <f>#REF!</f>
        <v>#REF!</v>
      </c>
      <c r="W81" s="5" t="e">
        <f>#REF!</f>
        <v>#REF!</v>
      </c>
      <c r="X81" s="5" t="e">
        <f>#REF!</f>
        <v>#REF!</v>
      </c>
      <c r="Y81" s="5" t="e">
        <f>#REF!</f>
        <v>#REF!</v>
      </c>
      <c r="Z81" s="5" t="e">
        <f>#REF!</f>
        <v>#REF!</v>
      </c>
      <c r="AA81" s="6">
        <f>№1!Q86</f>
        <v>2.8699999999999998E-4</v>
      </c>
      <c r="AB81" s="6" t="e">
        <f>#REF!</f>
        <v>#REF!</v>
      </c>
      <c r="AC81" s="6" t="e">
        <f>#REF!</f>
        <v>#REF!</v>
      </c>
      <c r="AD81" s="6" t="e">
        <f>#REF!</f>
        <v>#REF!</v>
      </c>
      <c r="AE81" s="6" t="e">
        <f>#REF!</f>
        <v>#REF!</v>
      </c>
      <c r="AF81" s="6" t="e">
        <f>#REF!</f>
        <v>#REF!</v>
      </c>
      <c r="AG81" s="6" t="e">
        <f>#REF!</f>
        <v>#REF!</v>
      </c>
      <c r="AH81" s="6" t="e">
        <f>#REF!</f>
        <v>#REF!</v>
      </c>
      <c r="AI81" s="5">
        <f>№1!S86</f>
        <v>20.129497000000001</v>
      </c>
      <c r="AJ81" s="5" t="e">
        <f>#REF!</f>
        <v>#REF!</v>
      </c>
      <c r="AK81" s="5" t="e">
        <f>#REF!</f>
        <v>#REF!</v>
      </c>
      <c r="AL81" s="5" t="e">
        <f>#REF!</f>
        <v>#REF!</v>
      </c>
      <c r="AM81" s="5" t="e">
        <f>#REF!</f>
        <v>#REF!</v>
      </c>
      <c r="AN81" s="5" t="e">
        <f>#REF!</f>
        <v>#REF!</v>
      </c>
      <c r="AO81" s="5" t="e">
        <f>#REF!</f>
        <v>#REF!</v>
      </c>
      <c r="AP81" s="5" t="e">
        <f>#REF!</f>
        <v>#REF!</v>
      </c>
      <c r="AQ81" s="6">
        <f>№1!T86</f>
        <v>130.08824918668205</v>
      </c>
      <c r="AR81" s="6" t="e">
        <f>#REF!</f>
        <v>#REF!</v>
      </c>
      <c r="AS81" s="6" t="e">
        <f>#REF!</f>
        <v>#REF!</v>
      </c>
      <c r="AT81" s="6" t="e">
        <f>#REF!</f>
        <v>#REF!</v>
      </c>
      <c r="AU81" s="6" t="e">
        <f>#REF!</f>
        <v>#REF!</v>
      </c>
      <c r="AV81" s="6" t="e">
        <f>#REF!</f>
        <v>#REF!</v>
      </c>
      <c r="AW81" s="6" t="e">
        <f>#REF!</f>
        <v>#REF!</v>
      </c>
      <c r="AX81" s="6" t="e">
        <f>#REF!</f>
        <v>#REF!</v>
      </c>
    </row>
    <row r="82" spans="1:50" x14ac:dyDescent="0.25">
      <c r="A82" s="4" t="e">
        <f>#REF!</f>
        <v>#REF!</v>
      </c>
      <c r="B82" s="4" t="e">
        <f t="shared" si="7"/>
        <v>#REF!</v>
      </c>
      <c r="C82" s="5">
        <f>№1!U87</f>
        <v>6.3726196738612133</v>
      </c>
      <c r="D82" s="5" t="e">
        <f>#REF!</f>
        <v>#REF!</v>
      </c>
      <c r="E82" s="5" t="e">
        <f>#REF!</f>
        <v>#REF!</v>
      </c>
      <c r="F82" s="5" t="e">
        <f>#REF!</f>
        <v>#REF!</v>
      </c>
      <c r="G82" s="5" t="e">
        <f>#REF!</f>
        <v>#REF!</v>
      </c>
      <c r="H82" s="5" t="e">
        <f>#REF!</f>
        <v>#REF!</v>
      </c>
      <c r="I82" s="5" t="e">
        <f>#REF!</f>
        <v>#REF!</v>
      </c>
      <c r="J82" s="5" t="e">
        <f>#REF!</f>
        <v>#REF!</v>
      </c>
      <c r="K82" s="6">
        <f>№1!P87</f>
        <v>38.04318</v>
      </c>
      <c r="L82" s="6" t="e">
        <f>#REF!</f>
        <v>#REF!</v>
      </c>
      <c r="M82" s="6" t="e">
        <f>#REF!</f>
        <v>#REF!</v>
      </c>
      <c r="N82" s="6" t="e">
        <f>#REF!</f>
        <v>#REF!</v>
      </c>
      <c r="O82" s="6" t="e">
        <f>#REF!</f>
        <v>#REF!</v>
      </c>
      <c r="P82" s="6" t="e">
        <f>#REF!</f>
        <v>#REF!</v>
      </c>
      <c r="Q82" s="6" t="e">
        <f>#REF!</f>
        <v>#REF!</v>
      </c>
      <c r="R82" s="6" t="e">
        <f>#REF!</f>
        <v>#REF!</v>
      </c>
      <c r="S82" s="5">
        <f>№1!R87</f>
        <v>0.175674</v>
      </c>
      <c r="T82" s="5" t="e">
        <f>#REF!</f>
        <v>#REF!</v>
      </c>
      <c r="U82" s="5" t="e">
        <f>#REF!</f>
        <v>#REF!</v>
      </c>
      <c r="V82" s="5" t="e">
        <f>#REF!</f>
        <v>#REF!</v>
      </c>
      <c r="W82" s="5" t="e">
        <f>#REF!</f>
        <v>#REF!</v>
      </c>
      <c r="X82" s="5" t="e">
        <f>#REF!</f>
        <v>#REF!</v>
      </c>
      <c r="Y82" s="5" t="e">
        <f>#REF!</f>
        <v>#REF!</v>
      </c>
      <c r="Z82" s="5" t="e">
        <f>#REF!</f>
        <v>#REF!</v>
      </c>
      <c r="AA82" s="6">
        <f>№1!Q87</f>
        <v>-2.33E-4</v>
      </c>
      <c r="AB82" s="6" t="e">
        <f>#REF!</f>
        <v>#REF!</v>
      </c>
      <c r="AC82" s="6" t="e">
        <f>#REF!</f>
        <v>#REF!</v>
      </c>
      <c r="AD82" s="6" t="e">
        <f>#REF!</f>
        <v>#REF!</v>
      </c>
      <c r="AE82" s="6" t="e">
        <f>#REF!</f>
        <v>#REF!</v>
      </c>
      <c r="AF82" s="6" t="e">
        <f>#REF!</f>
        <v>#REF!</v>
      </c>
      <c r="AG82" s="6" t="e">
        <f>#REF!</f>
        <v>#REF!</v>
      </c>
      <c r="AH82" s="6" t="e">
        <f>#REF!</f>
        <v>#REF!</v>
      </c>
      <c r="AI82" s="5">
        <f>№1!S87</f>
        <v>20.04318</v>
      </c>
      <c r="AJ82" s="5" t="e">
        <f>#REF!</f>
        <v>#REF!</v>
      </c>
      <c r="AK82" s="5" t="e">
        <f>#REF!</f>
        <v>#REF!</v>
      </c>
      <c r="AL82" s="5" t="e">
        <f>#REF!</f>
        <v>#REF!</v>
      </c>
      <c r="AM82" s="5" t="e">
        <f>#REF!</f>
        <v>#REF!</v>
      </c>
      <c r="AN82" s="5" t="e">
        <f>#REF!</f>
        <v>#REF!</v>
      </c>
      <c r="AO82" s="5" t="e">
        <f>#REF!</f>
        <v>#REF!</v>
      </c>
      <c r="AP82" s="5" t="e">
        <f>#REF!</f>
        <v>#REF!</v>
      </c>
      <c r="AQ82" s="6">
        <f>№1!T87</f>
        <v>128.2717651407313</v>
      </c>
      <c r="AR82" s="6" t="e">
        <f>#REF!</f>
        <v>#REF!</v>
      </c>
      <c r="AS82" s="6" t="e">
        <f>#REF!</f>
        <v>#REF!</v>
      </c>
      <c r="AT82" s="6" t="e">
        <f>#REF!</f>
        <v>#REF!</v>
      </c>
      <c r="AU82" s="6" t="e">
        <f>#REF!</f>
        <v>#REF!</v>
      </c>
      <c r="AV82" s="6" t="e">
        <f>#REF!</f>
        <v>#REF!</v>
      </c>
      <c r="AW82" s="6" t="e">
        <f>#REF!</f>
        <v>#REF!</v>
      </c>
      <c r="AX82" s="6" t="e">
        <f>#REF!</f>
        <v>#REF!</v>
      </c>
    </row>
    <row r="83" spans="1:50" x14ac:dyDescent="0.25">
      <c r="A83" s="3" t="e">
        <f>#REF!</f>
        <v>#REF!</v>
      </c>
      <c r="B83" s="4" t="e">
        <f t="shared" si="7"/>
        <v>#REF!</v>
      </c>
      <c r="C83" s="5">
        <f>№1!U88</f>
        <v>6.472598973187452</v>
      </c>
      <c r="D83" s="5" t="e">
        <f>#REF!</f>
        <v>#REF!</v>
      </c>
      <c r="E83" s="5" t="e">
        <f>#REF!</f>
        <v>#REF!</v>
      </c>
      <c r="F83" s="5" t="e">
        <f>#REF!</f>
        <v>#REF!</v>
      </c>
      <c r="G83" s="5" t="e">
        <f>#REF!</f>
        <v>#REF!</v>
      </c>
      <c r="H83" s="5" t="e">
        <f>#REF!</f>
        <v>#REF!</v>
      </c>
      <c r="I83" s="5" t="e">
        <f>#REF!</f>
        <v>#REF!</v>
      </c>
      <c r="J83" s="5" t="e">
        <f>#REF!</f>
        <v>#REF!</v>
      </c>
      <c r="K83" s="6">
        <f>№1!P88</f>
        <v>38.110787000000002</v>
      </c>
      <c r="L83" s="6" t="e">
        <f>#REF!</f>
        <v>#REF!</v>
      </c>
      <c r="M83" s="6" t="e">
        <f>#REF!</f>
        <v>#REF!</v>
      </c>
      <c r="N83" s="6" t="e">
        <f>#REF!</f>
        <v>#REF!</v>
      </c>
      <c r="O83" s="6" t="e">
        <f>#REF!</f>
        <v>#REF!</v>
      </c>
      <c r="P83" s="6" t="e">
        <f>#REF!</f>
        <v>#REF!</v>
      </c>
      <c r="Q83" s="6" t="e">
        <f>#REF!</f>
        <v>#REF!</v>
      </c>
      <c r="R83" s="6" t="e">
        <f>#REF!</f>
        <v>#REF!</v>
      </c>
      <c r="S83" s="5">
        <f>№1!R88</f>
        <v>0.176318</v>
      </c>
      <c r="T83" s="5" t="e">
        <f>#REF!</f>
        <v>#REF!</v>
      </c>
      <c r="U83" s="5" t="e">
        <f>#REF!</f>
        <v>#REF!</v>
      </c>
      <c r="V83" s="5" t="e">
        <f>#REF!</f>
        <v>#REF!</v>
      </c>
      <c r="W83" s="5" t="e">
        <f>#REF!</f>
        <v>#REF!</v>
      </c>
      <c r="X83" s="5" t="e">
        <f>#REF!</f>
        <v>#REF!</v>
      </c>
      <c r="Y83" s="5" t="e">
        <f>#REF!</f>
        <v>#REF!</v>
      </c>
      <c r="Z83" s="5" t="e">
        <f>#REF!</f>
        <v>#REF!</v>
      </c>
      <c r="AA83" s="6">
        <f>№1!Q88</f>
        <v>-2.1800000000000001E-4</v>
      </c>
      <c r="AB83" s="6" t="e">
        <f>#REF!</f>
        <v>#REF!</v>
      </c>
      <c r="AC83" s="6" t="e">
        <f>#REF!</f>
        <v>#REF!</v>
      </c>
      <c r="AD83" s="6" t="e">
        <f>#REF!</f>
        <v>#REF!</v>
      </c>
      <c r="AE83" s="6" t="e">
        <f>#REF!</f>
        <v>#REF!</v>
      </c>
      <c r="AF83" s="6" t="e">
        <f>#REF!</f>
        <v>#REF!</v>
      </c>
      <c r="AG83" s="6" t="e">
        <f>#REF!</f>
        <v>#REF!</v>
      </c>
      <c r="AH83" s="6" t="e">
        <f>#REF!</f>
        <v>#REF!</v>
      </c>
      <c r="AI83" s="5">
        <f>№1!S88</f>
        <v>20.110786999999998</v>
      </c>
      <c r="AJ83" s="5" t="e">
        <f>#REF!</f>
        <v>#REF!</v>
      </c>
      <c r="AK83" s="5" t="e">
        <f>#REF!</f>
        <v>#REF!</v>
      </c>
      <c r="AL83" s="5" t="e">
        <f>#REF!</f>
        <v>#REF!</v>
      </c>
      <c r="AM83" s="5" t="e">
        <f>#REF!</f>
        <v>#REF!</v>
      </c>
      <c r="AN83" s="5" t="e">
        <f>#REF!</f>
        <v>#REF!</v>
      </c>
      <c r="AO83" s="5" t="e">
        <f>#REF!</f>
        <v>#REF!</v>
      </c>
      <c r="AP83" s="5" t="e">
        <f>#REF!</f>
        <v>#REF!</v>
      </c>
      <c r="AQ83" s="6">
        <f>№1!T88</f>
        <v>129.82839526025688</v>
      </c>
      <c r="AR83" s="6" t="e">
        <f>#REF!</f>
        <v>#REF!</v>
      </c>
      <c r="AS83" s="6" t="e">
        <f>#REF!</f>
        <v>#REF!</v>
      </c>
      <c r="AT83" s="6" t="e">
        <f>#REF!</f>
        <v>#REF!</v>
      </c>
      <c r="AU83" s="6" t="e">
        <f>#REF!</f>
        <v>#REF!</v>
      </c>
      <c r="AV83" s="6" t="e">
        <f>#REF!</f>
        <v>#REF!</v>
      </c>
      <c r="AW83" s="6" t="e">
        <f>#REF!</f>
        <v>#REF!</v>
      </c>
      <c r="AX83" s="6" t="e">
        <f>#REF!</f>
        <v>#REF!</v>
      </c>
    </row>
    <row r="84" spans="1:50" x14ac:dyDescent="0.25">
      <c r="A84" s="4" t="e">
        <f>#REF!</f>
        <v>#REF!</v>
      </c>
      <c r="B84" s="4" t="e">
        <f t="shared" si="7"/>
        <v>#REF!</v>
      </c>
      <c r="C84" s="5">
        <f>№1!U89</f>
        <v>6.4117517646498525</v>
      </c>
      <c r="D84" s="5" t="e">
        <f>#REF!</f>
        <v>#REF!</v>
      </c>
      <c r="E84" s="5" t="e">
        <f>#REF!</f>
        <v>#REF!</v>
      </c>
      <c r="F84" s="5" t="e">
        <f>#REF!</f>
        <v>#REF!</v>
      </c>
      <c r="G84" s="5" t="e">
        <f>#REF!</f>
        <v>#REF!</v>
      </c>
      <c r="H84" s="5" t="e">
        <f>#REF!</f>
        <v>#REF!</v>
      </c>
      <c r="I84" s="5" t="e">
        <f>#REF!</f>
        <v>#REF!</v>
      </c>
      <c r="J84" s="5" t="e">
        <f>#REF!</f>
        <v>#REF!</v>
      </c>
      <c r="K84" s="6">
        <f>№1!P89</f>
        <v>38.069766999999999</v>
      </c>
      <c r="L84" s="6" t="e">
        <f>#REF!</f>
        <v>#REF!</v>
      </c>
      <c r="M84" s="6" t="e">
        <f>#REF!</f>
        <v>#REF!</v>
      </c>
      <c r="N84" s="6" t="e">
        <f>#REF!</f>
        <v>#REF!</v>
      </c>
      <c r="O84" s="6" t="e">
        <f>#REF!</f>
        <v>#REF!</v>
      </c>
      <c r="P84" s="6" t="e">
        <f>#REF!</f>
        <v>#REF!</v>
      </c>
      <c r="Q84" s="6" t="e">
        <f>#REF!</f>
        <v>#REF!</v>
      </c>
      <c r="R84" s="6" t="e">
        <f>#REF!</f>
        <v>#REF!</v>
      </c>
      <c r="S84" s="5">
        <f>№1!R89</f>
        <v>0.175651</v>
      </c>
      <c r="T84" s="5" t="e">
        <f>#REF!</f>
        <v>#REF!</v>
      </c>
      <c r="U84" s="5" t="e">
        <f>#REF!</f>
        <v>#REF!</v>
      </c>
      <c r="V84" s="5" t="e">
        <f>#REF!</f>
        <v>#REF!</v>
      </c>
      <c r="W84" s="5" t="e">
        <f>#REF!</f>
        <v>#REF!</v>
      </c>
      <c r="X84" s="5" t="e">
        <f>#REF!</f>
        <v>#REF!</v>
      </c>
      <c r="Y84" s="5" t="e">
        <f>#REF!</f>
        <v>#REF!</v>
      </c>
      <c r="Z84" s="5" t="e">
        <f>#REF!</f>
        <v>#REF!</v>
      </c>
      <c r="AA84" s="6">
        <f>№1!Q89</f>
        <v>-6.6000000000000005E-5</v>
      </c>
      <c r="AB84" s="6" t="e">
        <f>#REF!</f>
        <v>#REF!</v>
      </c>
      <c r="AC84" s="6" t="e">
        <f>#REF!</f>
        <v>#REF!</v>
      </c>
      <c r="AD84" s="6" t="e">
        <f>#REF!</f>
        <v>#REF!</v>
      </c>
      <c r="AE84" s="6" t="e">
        <f>#REF!</f>
        <v>#REF!</v>
      </c>
      <c r="AF84" s="6" t="e">
        <f>#REF!</f>
        <v>#REF!</v>
      </c>
      <c r="AG84" s="6" t="e">
        <f>#REF!</f>
        <v>#REF!</v>
      </c>
      <c r="AH84" s="6" t="e">
        <f>#REF!</f>
        <v>#REF!</v>
      </c>
      <c r="AI84" s="5">
        <f>№1!S89</f>
        <v>20.069766999999999</v>
      </c>
      <c r="AJ84" s="5" t="e">
        <f>#REF!</f>
        <v>#REF!</v>
      </c>
      <c r="AK84" s="5" t="e">
        <f>#REF!</f>
        <v>#REF!</v>
      </c>
      <c r="AL84" s="5" t="e">
        <f>#REF!</f>
        <v>#REF!</v>
      </c>
      <c r="AM84" s="5" t="e">
        <f>#REF!</f>
        <v>#REF!</v>
      </c>
      <c r="AN84" s="5" t="e">
        <f>#REF!</f>
        <v>#REF!</v>
      </c>
      <c r="AO84" s="5" t="e">
        <f>#REF!</f>
        <v>#REF!</v>
      </c>
      <c r="AP84" s="5" t="e">
        <f>#REF!</f>
        <v>#REF!</v>
      </c>
      <c r="AQ84" s="6">
        <f>№1!T89</f>
        <v>129.08421549797677</v>
      </c>
      <c r="AR84" s="6" t="e">
        <f>#REF!</f>
        <v>#REF!</v>
      </c>
      <c r="AS84" s="6" t="e">
        <f>#REF!</f>
        <v>#REF!</v>
      </c>
      <c r="AT84" s="6" t="e">
        <f>#REF!</f>
        <v>#REF!</v>
      </c>
      <c r="AU84" s="6" t="e">
        <f>#REF!</f>
        <v>#REF!</v>
      </c>
      <c r="AV84" s="6" t="e">
        <f>#REF!</f>
        <v>#REF!</v>
      </c>
      <c r="AW84" s="6" t="e">
        <f>#REF!</f>
        <v>#REF!</v>
      </c>
      <c r="AX84" s="6" t="e">
        <f>#REF!</f>
        <v>#REF!</v>
      </c>
    </row>
    <row r="85" spans="1:50" x14ac:dyDescent="0.25">
      <c r="A85" s="3" t="e">
        <f>#REF!</f>
        <v>#REF!</v>
      </c>
      <c r="B85" s="4" t="e">
        <f t="shared" si="7"/>
        <v>#REF!</v>
      </c>
      <c r="C85" s="5">
        <f>№1!U90</f>
        <v>5.7987915849541878</v>
      </c>
      <c r="D85" s="5" t="e">
        <f>#REF!</f>
        <v>#REF!</v>
      </c>
      <c r="E85" s="5" t="e">
        <f>#REF!</f>
        <v>#REF!</v>
      </c>
      <c r="F85" s="5" t="e">
        <f>#REF!</f>
        <v>#REF!</v>
      </c>
      <c r="G85" s="5" t="e">
        <f>#REF!</f>
        <v>#REF!</v>
      </c>
      <c r="H85" s="5" t="e">
        <f>#REF!</f>
        <v>#REF!</v>
      </c>
      <c r="I85" s="5" t="e">
        <f>#REF!</f>
        <v>#REF!</v>
      </c>
      <c r="J85" s="5" t="e">
        <f>#REF!</f>
        <v>#REF!</v>
      </c>
      <c r="K85" s="6">
        <f>№1!P90</f>
        <v>37.633375000000001</v>
      </c>
      <c r="L85" s="6" t="e">
        <f>#REF!</f>
        <v>#REF!</v>
      </c>
      <c r="M85" s="6" t="e">
        <f>#REF!</f>
        <v>#REF!</v>
      </c>
      <c r="N85" s="6" t="e">
        <f>#REF!</f>
        <v>#REF!</v>
      </c>
      <c r="O85" s="6" t="e">
        <f>#REF!</f>
        <v>#REF!</v>
      </c>
      <c r="P85" s="6" t="e">
        <f>#REF!</f>
        <v>#REF!</v>
      </c>
      <c r="Q85" s="6" t="e">
        <f>#REF!</f>
        <v>#REF!</v>
      </c>
      <c r="R85" s="6" t="e">
        <f>#REF!</f>
        <v>#REF!</v>
      </c>
      <c r="S85" s="5">
        <f>№1!R90</f>
        <v>0.17508399999999999</v>
      </c>
      <c r="T85" s="5" t="e">
        <f>#REF!</f>
        <v>#REF!</v>
      </c>
      <c r="U85" s="5" t="e">
        <f>#REF!</f>
        <v>#REF!</v>
      </c>
      <c r="V85" s="5" t="e">
        <f>#REF!</f>
        <v>#REF!</v>
      </c>
      <c r="W85" s="5" t="e">
        <f>#REF!</f>
        <v>#REF!</v>
      </c>
      <c r="X85" s="5" t="e">
        <f>#REF!</f>
        <v>#REF!</v>
      </c>
      <c r="Y85" s="5" t="e">
        <f>#REF!</f>
        <v>#REF!</v>
      </c>
      <c r="Z85" s="5" t="e">
        <f>#REF!</f>
        <v>#REF!</v>
      </c>
      <c r="AA85" s="6">
        <f>№1!Q90</f>
        <v>-3.0600000000000001E-4</v>
      </c>
      <c r="AB85" s="6" t="e">
        <f>#REF!</f>
        <v>#REF!</v>
      </c>
      <c r="AC85" s="6" t="e">
        <f>#REF!</f>
        <v>#REF!</v>
      </c>
      <c r="AD85" s="6" t="e">
        <f>#REF!</f>
        <v>#REF!</v>
      </c>
      <c r="AE85" s="6" t="e">
        <f>#REF!</f>
        <v>#REF!</v>
      </c>
      <c r="AF85" s="6" t="e">
        <f>#REF!</f>
        <v>#REF!</v>
      </c>
      <c r="AG85" s="6" t="e">
        <f>#REF!</f>
        <v>#REF!</v>
      </c>
      <c r="AH85" s="6" t="e">
        <f>#REF!</f>
        <v>#REF!</v>
      </c>
      <c r="AI85" s="5">
        <f>№1!S90</f>
        <v>19.633375000000001</v>
      </c>
      <c r="AJ85" s="5" t="e">
        <f>#REF!</f>
        <v>#REF!</v>
      </c>
      <c r="AK85" s="5" t="e">
        <f>#REF!</f>
        <v>#REF!</v>
      </c>
      <c r="AL85" s="5" t="e">
        <f>#REF!</f>
        <v>#REF!</v>
      </c>
      <c r="AM85" s="5" t="e">
        <f>#REF!</f>
        <v>#REF!</v>
      </c>
      <c r="AN85" s="5" t="e">
        <f>#REF!</f>
        <v>#REF!</v>
      </c>
      <c r="AO85" s="5" t="e">
        <f>#REF!</f>
        <v>#REF!</v>
      </c>
      <c r="AP85" s="5" t="e">
        <f>#REF!</f>
        <v>#REF!</v>
      </c>
      <c r="AQ85" s="6">
        <f>№1!T90</f>
        <v>116.99885790547413</v>
      </c>
      <c r="AR85" s="6" t="e">
        <f>#REF!</f>
        <v>#REF!</v>
      </c>
      <c r="AS85" s="6" t="e">
        <f>#REF!</f>
        <v>#REF!</v>
      </c>
      <c r="AT85" s="6" t="e">
        <f>#REF!</f>
        <v>#REF!</v>
      </c>
      <c r="AU85" s="6" t="e">
        <f>#REF!</f>
        <v>#REF!</v>
      </c>
      <c r="AV85" s="6" t="e">
        <f>#REF!</f>
        <v>#REF!</v>
      </c>
      <c r="AW85" s="6" t="e">
        <f>#REF!</f>
        <v>#REF!</v>
      </c>
      <c r="AX85" s="6" t="e">
        <f>#REF!</f>
        <v>#REF!</v>
      </c>
    </row>
    <row r="86" spans="1:50" x14ac:dyDescent="0.25">
      <c r="A86" s="4" t="e">
        <f>#REF!</f>
        <v>#REF!</v>
      </c>
      <c r="B86" s="4" t="e">
        <f t="shared" si="7"/>
        <v>#REF!</v>
      </c>
      <c r="C86" s="5">
        <f>№1!U91</f>
        <v>5.6624554738073991</v>
      </c>
      <c r="D86" s="5" t="e">
        <f>#REF!</f>
        <v>#REF!</v>
      </c>
      <c r="E86" s="5" t="e">
        <f>#REF!</f>
        <v>#REF!</v>
      </c>
      <c r="F86" s="5" t="e">
        <f>#REF!</f>
        <v>#REF!</v>
      </c>
      <c r="G86" s="5" t="e">
        <f>#REF!</f>
        <v>#REF!</v>
      </c>
      <c r="H86" s="5" t="e">
        <f>#REF!</f>
        <v>#REF!</v>
      </c>
      <c r="I86" s="5" t="e">
        <f>#REF!</f>
        <v>#REF!</v>
      </c>
      <c r="J86" s="5" t="e">
        <f>#REF!</f>
        <v>#REF!</v>
      </c>
      <c r="K86" s="6">
        <f>№1!P91</f>
        <v>37.530048000000001</v>
      </c>
      <c r="L86" s="6" t="e">
        <f>#REF!</f>
        <v>#REF!</v>
      </c>
      <c r="M86" s="6" t="e">
        <f>#REF!</f>
        <v>#REF!</v>
      </c>
      <c r="N86" s="6" t="e">
        <f>#REF!</f>
        <v>#REF!</v>
      </c>
      <c r="O86" s="6" t="e">
        <f>#REF!</f>
        <v>#REF!</v>
      </c>
      <c r="P86" s="6" t="e">
        <f>#REF!</f>
        <v>#REF!</v>
      </c>
      <c r="Q86" s="6" t="e">
        <f>#REF!</f>
        <v>#REF!</v>
      </c>
      <c r="R86" s="6" t="e">
        <f>#REF!</f>
        <v>#REF!</v>
      </c>
      <c r="S86" s="5">
        <f>№1!R91</f>
        <v>0.17572299999999999</v>
      </c>
      <c r="T86" s="5" t="e">
        <f>#REF!</f>
        <v>#REF!</v>
      </c>
      <c r="U86" s="5" t="e">
        <f>#REF!</f>
        <v>#REF!</v>
      </c>
      <c r="V86" s="5" t="e">
        <f>#REF!</f>
        <v>#REF!</v>
      </c>
      <c r="W86" s="5" t="e">
        <f>#REF!</f>
        <v>#REF!</v>
      </c>
      <c r="X86" s="5" t="e">
        <f>#REF!</f>
        <v>#REF!</v>
      </c>
      <c r="Y86" s="5" t="e">
        <f>#REF!</f>
        <v>#REF!</v>
      </c>
      <c r="Z86" s="5" t="e">
        <f>#REF!</f>
        <v>#REF!</v>
      </c>
      <c r="AA86" s="6">
        <f>№1!Q91</f>
        <v>-2.9E-4</v>
      </c>
      <c r="AB86" s="6" t="e">
        <f>#REF!</f>
        <v>#REF!</v>
      </c>
      <c r="AC86" s="6" t="e">
        <f>#REF!</f>
        <v>#REF!</v>
      </c>
      <c r="AD86" s="6" t="e">
        <f>#REF!</f>
        <v>#REF!</v>
      </c>
      <c r="AE86" s="6" t="e">
        <f>#REF!</f>
        <v>#REF!</v>
      </c>
      <c r="AF86" s="6" t="e">
        <f>#REF!</f>
        <v>#REF!</v>
      </c>
      <c r="AG86" s="6" t="e">
        <f>#REF!</f>
        <v>#REF!</v>
      </c>
      <c r="AH86" s="6" t="e">
        <f>#REF!</f>
        <v>#REF!</v>
      </c>
      <c r="AI86" s="5">
        <f>№1!S91</f>
        <v>19.530048000000001</v>
      </c>
      <c r="AJ86" s="5" t="e">
        <f>#REF!</f>
        <v>#REF!</v>
      </c>
      <c r="AK86" s="5" t="e">
        <f>#REF!</f>
        <v>#REF!</v>
      </c>
      <c r="AL86" s="5" t="e">
        <f>#REF!</f>
        <v>#REF!</v>
      </c>
      <c r="AM86" s="5" t="e">
        <f>#REF!</f>
        <v>#REF!</v>
      </c>
      <c r="AN86" s="5" t="e">
        <f>#REF!</f>
        <v>#REF!</v>
      </c>
      <c r="AO86" s="5" t="e">
        <f>#REF!</f>
        <v>#REF!</v>
      </c>
      <c r="AP86" s="5" t="e">
        <f>#REF!</f>
        <v>#REF!</v>
      </c>
      <c r="AQ86" s="6">
        <f>№1!T91</f>
        <v>113.8024809208523</v>
      </c>
      <c r="AR86" s="6" t="e">
        <f>#REF!</f>
        <v>#REF!</v>
      </c>
      <c r="AS86" s="6" t="e">
        <f>#REF!</f>
        <v>#REF!</v>
      </c>
      <c r="AT86" s="6" t="e">
        <f>#REF!</f>
        <v>#REF!</v>
      </c>
      <c r="AU86" s="6" t="e">
        <f>#REF!</f>
        <v>#REF!</v>
      </c>
      <c r="AV86" s="6" t="e">
        <f>#REF!</f>
        <v>#REF!</v>
      </c>
      <c r="AW86" s="6" t="e">
        <f>#REF!</f>
        <v>#REF!</v>
      </c>
      <c r="AX86" s="6" t="e">
        <f>#REF!</f>
        <v>#REF!</v>
      </c>
    </row>
    <row r="87" spans="1:50" x14ac:dyDescent="0.25">
      <c r="A87" s="3" t="e">
        <f>#REF!</f>
        <v>#REF!</v>
      </c>
      <c r="B87" s="4" t="e">
        <f t="shared" si="7"/>
        <v>#REF!</v>
      </c>
      <c r="C87" s="5">
        <f>№1!U92</f>
        <v>5.6175144728490256</v>
      </c>
      <c r="D87" s="5" t="e">
        <f>#REF!</f>
        <v>#REF!</v>
      </c>
      <c r="E87" s="5" t="e">
        <f>#REF!</f>
        <v>#REF!</v>
      </c>
      <c r="F87" s="5" t="e">
        <f>#REF!</f>
        <v>#REF!</v>
      </c>
      <c r="G87" s="5" t="e">
        <f>#REF!</f>
        <v>#REF!</v>
      </c>
      <c r="H87" s="5" t="e">
        <f>#REF!</f>
        <v>#REF!</v>
      </c>
      <c r="I87" s="5" t="e">
        <f>#REF!</f>
        <v>#REF!</v>
      </c>
      <c r="J87" s="5" t="e">
        <f>#REF!</f>
        <v>#REF!</v>
      </c>
      <c r="K87" s="6">
        <f>№1!P92</f>
        <v>37.495441999999997</v>
      </c>
      <c r="L87" s="6" t="e">
        <f>#REF!</f>
        <v>#REF!</v>
      </c>
      <c r="M87" s="6" t="e">
        <f>#REF!</f>
        <v>#REF!</v>
      </c>
      <c r="N87" s="6" t="e">
        <f>#REF!</f>
        <v>#REF!</v>
      </c>
      <c r="O87" s="6" t="e">
        <f>#REF!</f>
        <v>#REF!</v>
      </c>
      <c r="P87" s="6" t="e">
        <f>#REF!</f>
        <v>#REF!</v>
      </c>
      <c r="Q87" s="6" t="e">
        <f>#REF!</f>
        <v>#REF!</v>
      </c>
      <c r="R87" s="6" t="e">
        <f>#REF!</f>
        <v>#REF!</v>
      </c>
      <c r="S87" s="5">
        <f>№1!R92</f>
        <v>0.17514199999999999</v>
      </c>
      <c r="T87" s="5" t="e">
        <f>#REF!</f>
        <v>#REF!</v>
      </c>
      <c r="U87" s="5" t="e">
        <f>#REF!</f>
        <v>#REF!</v>
      </c>
      <c r="V87" s="5" t="e">
        <f>#REF!</f>
        <v>#REF!</v>
      </c>
      <c r="W87" s="5" t="e">
        <f>#REF!</f>
        <v>#REF!</v>
      </c>
      <c r="X87" s="5" t="e">
        <f>#REF!</f>
        <v>#REF!</v>
      </c>
      <c r="Y87" s="5" t="e">
        <f>#REF!</f>
        <v>#REF!</v>
      </c>
      <c r="Z87" s="5" t="e">
        <f>#REF!</f>
        <v>#REF!</v>
      </c>
      <c r="AA87" s="6">
        <f>№1!Q92</f>
        <v>-4.6999999999999997E-5</v>
      </c>
      <c r="AB87" s="6" t="e">
        <f>#REF!</f>
        <v>#REF!</v>
      </c>
      <c r="AC87" s="6" t="e">
        <f>#REF!</f>
        <v>#REF!</v>
      </c>
      <c r="AD87" s="6" t="e">
        <f>#REF!</f>
        <v>#REF!</v>
      </c>
      <c r="AE87" s="6" t="e">
        <f>#REF!</f>
        <v>#REF!</v>
      </c>
      <c r="AF87" s="6" t="e">
        <f>#REF!</f>
        <v>#REF!</v>
      </c>
      <c r="AG87" s="6" t="e">
        <f>#REF!</f>
        <v>#REF!</v>
      </c>
      <c r="AH87" s="6" t="e">
        <f>#REF!</f>
        <v>#REF!</v>
      </c>
      <c r="AI87" s="5">
        <f>№1!S92</f>
        <v>19.495442000000001</v>
      </c>
      <c r="AJ87" s="5" t="e">
        <f>#REF!</f>
        <v>#REF!</v>
      </c>
      <c r="AK87" s="5" t="e">
        <f>#REF!</f>
        <v>#REF!</v>
      </c>
      <c r="AL87" s="5" t="e">
        <f>#REF!</f>
        <v>#REF!</v>
      </c>
      <c r="AM87" s="5" t="e">
        <f>#REF!</f>
        <v>#REF!</v>
      </c>
      <c r="AN87" s="5" t="e">
        <f>#REF!</f>
        <v>#REF!</v>
      </c>
      <c r="AO87" s="5" t="e">
        <f>#REF!</f>
        <v>#REF!</v>
      </c>
      <c r="AP87" s="5" t="e">
        <f>#REF!</f>
        <v>#REF!</v>
      </c>
      <c r="AQ87" s="6">
        <f>№1!T92</f>
        <v>113.26357915293643</v>
      </c>
      <c r="AR87" s="6" t="e">
        <f>#REF!</f>
        <v>#REF!</v>
      </c>
      <c r="AS87" s="6" t="e">
        <f>#REF!</f>
        <v>#REF!</v>
      </c>
      <c r="AT87" s="6" t="e">
        <f>#REF!</f>
        <v>#REF!</v>
      </c>
      <c r="AU87" s="6" t="e">
        <f>#REF!</f>
        <v>#REF!</v>
      </c>
      <c r="AV87" s="6" t="e">
        <f>#REF!</f>
        <v>#REF!</v>
      </c>
      <c r="AW87" s="6" t="e">
        <f>#REF!</f>
        <v>#REF!</v>
      </c>
      <c r="AX87" s="6" t="e">
        <f>#REF!</f>
        <v>#REF!</v>
      </c>
    </row>
    <row r="88" spans="1:50" x14ac:dyDescent="0.25">
      <c r="A88" s="4" t="e">
        <f>#REF!</f>
        <v>#REF!</v>
      </c>
      <c r="B88" s="4" t="e">
        <f t="shared" si="7"/>
        <v>#REF!</v>
      </c>
      <c r="C88" s="5">
        <f>№1!U93</f>
        <v>5.248826289730224</v>
      </c>
      <c r="D88" s="5" t="e">
        <f>#REF!</f>
        <v>#REF!</v>
      </c>
      <c r="E88" s="5" t="e">
        <f>#REF!</f>
        <v>#REF!</v>
      </c>
      <c r="F88" s="5" t="e">
        <f>#REF!</f>
        <v>#REF!</v>
      </c>
      <c r="G88" s="5" t="e">
        <f>#REF!</f>
        <v>#REF!</v>
      </c>
      <c r="H88" s="5" t="e">
        <f>#REF!</f>
        <v>#REF!</v>
      </c>
      <c r="I88" s="5" t="e">
        <f>#REF!</f>
        <v>#REF!</v>
      </c>
      <c r="J88" s="5" t="e">
        <f>#REF!</f>
        <v>#REF!</v>
      </c>
      <c r="K88" s="6">
        <f>№1!P93</f>
        <v>37.200622000000003</v>
      </c>
      <c r="L88" s="6" t="e">
        <f>#REF!</f>
        <v>#REF!</v>
      </c>
      <c r="M88" s="6" t="e">
        <f>#REF!</f>
        <v>#REF!</v>
      </c>
      <c r="N88" s="6" t="e">
        <f>#REF!</f>
        <v>#REF!</v>
      </c>
      <c r="O88" s="6" t="e">
        <f>#REF!</f>
        <v>#REF!</v>
      </c>
      <c r="P88" s="6" t="e">
        <f>#REF!</f>
        <v>#REF!</v>
      </c>
      <c r="Q88" s="6" t="e">
        <f>#REF!</f>
        <v>#REF!</v>
      </c>
      <c r="R88" s="6" t="e">
        <f>#REF!</f>
        <v>#REF!</v>
      </c>
      <c r="S88" s="5">
        <f>№1!R93</f>
        <v>0.17518500000000001</v>
      </c>
      <c r="T88" s="5" t="e">
        <f>#REF!</f>
        <v>#REF!</v>
      </c>
      <c r="U88" s="5" t="e">
        <f>#REF!</f>
        <v>#REF!</v>
      </c>
      <c r="V88" s="5" t="e">
        <f>#REF!</f>
        <v>#REF!</v>
      </c>
      <c r="W88" s="5" t="e">
        <f>#REF!</f>
        <v>#REF!</v>
      </c>
      <c r="X88" s="5" t="e">
        <f>#REF!</f>
        <v>#REF!</v>
      </c>
      <c r="Y88" s="5" t="e">
        <f>#REF!</f>
        <v>#REF!</v>
      </c>
      <c r="Z88" s="5" t="e">
        <f>#REF!</f>
        <v>#REF!</v>
      </c>
      <c r="AA88" s="6">
        <f>№1!Q93</f>
        <v>-3.7100000000000002E-4</v>
      </c>
      <c r="AB88" s="6" t="e">
        <f>#REF!</f>
        <v>#REF!</v>
      </c>
      <c r="AC88" s="6" t="e">
        <f>#REF!</f>
        <v>#REF!</v>
      </c>
      <c r="AD88" s="6" t="e">
        <f>#REF!</f>
        <v>#REF!</v>
      </c>
      <c r="AE88" s="6" t="e">
        <f>#REF!</f>
        <v>#REF!</v>
      </c>
      <c r="AF88" s="6" t="e">
        <f>#REF!</f>
        <v>#REF!</v>
      </c>
      <c r="AG88" s="6" t="e">
        <f>#REF!</f>
        <v>#REF!</v>
      </c>
      <c r="AH88" s="6" t="e">
        <f>#REF!</f>
        <v>#REF!</v>
      </c>
      <c r="AI88" s="5">
        <f>№1!S93</f>
        <v>19.200621999999999</v>
      </c>
      <c r="AJ88" s="5" t="e">
        <f>#REF!</f>
        <v>#REF!</v>
      </c>
      <c r="AK88" s="5" t="e">
        <f>#REF!</f>
        <v>#REF!</v>
      </c>
      <c r="AL88" s="5" t="e">
        <f>#REF!</f>
        <v>#REF!</v>
      </c>
      <c r="AM88" s="5" t="e">
        <f>#REF!</f>
        <v>#REF!</v>
      </c>
      <c r="AN88" s="5" t="e">
        <f>#REF!</f>
        <v>#REF!</v>
      </c>
      <c r="AO88" s="5" t="e">
        <f>#REF!</f>
        <v>#REF!</v>
      </c>
      <c r="AP88" s="5" t="e">
        <f>#REF!</f>
        <v>#REF!</v>
      </c>
      <c r="AQ88" s="6">
        <f>№1!T93</f>
        <v>105.71947523398131</v>
      </c>
      <c r="AR88" s="6" t="e">
        <f>#REF!</f>
        <v>#REF!</v>
      </c>
      <c r="AS88" s="6" t="e">
        <f>#REF!</f>
        <v>#REF!</v>
      </c>
      <c r="AT88" s="6" t="e">
        <f>#REF!</f>
        <v>#REF!</v>
      </c>
      <c r="AU88" s="6" t="e">
        <f>#REF!</f>
        <v>#REF!</v>
      </c>
      <c r="AV88" s="6" t="e">
        <f>#REF!</f>
        <v>#REF!</v>
      </c>
      <c r="AW88" s="6" t="e">
        <f>#REF!</f>
        <v>#REF!</v>
      </c>
      <c r="AX88" s="6" t="e">
        <f>#REF!</f>
        <v>#REF!</v>
      </c>
    </row>
    <row r="89" spans="1:50" x14ac:dyDescent="0.25">
      <c r="A89" s="3" t="e">
        <f>#REF!</f>
        <v>#REF!</v>
      </c>
      <c r="B89" s="4" t="e">
        <f t="shared" si="7"/>
        <v>#REF!</v>
      </c>
      <c r="C89" s="5">
        <f>№1!U94</f>
        <v>5.2783951602778778</v>
      </c>
      <c r="D89" s="5" t="e">
        <f>#REF!</f>
        <v>#REF!</v>
      </c>
      <c r="E89" s="5" t="e">
        <f>#REF!</f>
        <v>#REF!</v>
      </c>
      <c r="F89" s="5" t="e">
        <f>#REF!</f>
        <v>#REF!</v>
      </c>
      <c r="G89" s="5" t="e">
        <f>#REF!</f>
        <v>#REF!</v>
      </c>
      <c r="H89" s="5" t="e">
        <f>#REF!</f>
        <v>#REF!</v>
      </c>
      <c r="I89" s="5" t="e">
        <f>#REF!</f>
        <v>#REF!</v>
      </c>
      <c r="J89" s="5" t="e">
        <f>#REF!</f>
        <v>#REF!</v>
      </c>
      <c r="K89" s="6">
        <f>№1!P94</f>
        <v>37.225019000000003</v>
      </c>
      <c r="L89" s="6" t="e">
        <f>#REF!</f>
        <v>#REF!</v>
      </c>
      <c r="M89" s="6" t="e">
        <f>#REF!</f>
        <v>#REF!</v>
      </c>
      <c r="N89" s="6" t="e">
        <f>#REF!</f>
        <v>#REF!</v>
      </c>
      <c r="O89" s="6" t="e">
        <f>#REF!</f>
        <v>#REF!</v>
      </c>
      <c r="P89" s="6" t="e">
        <f>#REF!</f>
        <v>#REF!</v>
      </c>
      <c r="Q89" s="6" t="e">
        <f>#REF!</f>
        <v>#REF!</v>
      </c>
      <c r="R89" s="6" t="e">
        <f>#REF!</f>
        <v>#REF!</v>
      </c>
      <c r="S89" s="5">
        <f>№1!R94</f>
        <v>0.174009</v>
      </c>
      <c r="T89" s="5" t="e">
        <f>#REF!</f>
        <v>#REF!</v>
      </c>
      <c r="U89" s="5" t="e">
        <f>#REF!</f>
        <v>#REF!</v>
      </c>
      <c r="V89" s="5" t="e">
        <f>#REF!</f>
        <v>#REF!</v>
      </c>
      <c r="W89" s="5" t="e">
        <f>#REF!</f>
        <v>#REF!</v>
      </c>
      <c r="X89" s="5" t="e">
        <f>#REF!</f>
        <v>#REF!</v>
      </c>
      <c r="Y89" s="5" t="e">
        <f>#REF!</f>
        <v>#REF!</v>
      </c>
      <c r="Z89" s="5" t="e">
        <f>#REF!</f>
        <v>#REF!</v>
      </c>
      <c r="AA89" s="6">
        <f>№1!Q94</f>
        <v>-1.6000000000000001E-4</v>
      </c>
      <c r="AB89" s="6" t="e">
        <f>#REF!</f>
        <v>#REF!</v>
      </c>
      <c r="AC89" s="6" t="e">
        <f>#REF!</f>
        <v>#REF!</v>
      </c>
      <c r="AD89" s="6" t="e">
        <f>#REF!</f>
        <v>#REF!</v>
      </c>
      <c r="AE89" s="6" t="e">
        <f>#REF!</f>
        <v>#REF!</v>
      </c>
      <c r="AF89" s="6" t="e">
        <f>#REF!</f>
        <v>#REF!</v>
      </c>
      <c r="AG89" s="6" t="e">
        <f>#REF!</f>
        <v>#REF!</v>
      </c>
      <c r="AH89" s="6" t="e">
        <f>#REF!</f>
        <v>#REF!</v>
      </c>
      <c r="AI89" s="5">
        <f>№1!S94</f>
        <v>19.225019</v>
      </c>
      <c r="AJ89" s="5" t="e">
        <f>#REF!</f>
        <v>#REF!</v>
      </c>
      <c r="AK89" s="5" t="e">
        <f>#REF!</f>
        <v>#REF!</v>
      </c>
      <c r="AL89" s="5" t="e">
        <f>#REF!</f>
        <v>#REF!</v>
      </c>
      <c r="AM89" s="5" t="e">
        <f>#REF!</f>
        <v>#REF!</v>
      </c>
      <c r="AN89" s="5" t="e">
        <f>#REF!</f>
        <v>#REF!</v>
      </c>
      <c r="AO89" s="5" t="e">
        <f>#REF!</f>
        <v>#REF!</v>
      </c>
      <c r="AP89" s="5" t="e">
        <f>#REF!</f>
        <v>#REF!</v>
      </c>
      <c r="AQ89" s="6">
        <f>№1!T94</f>
        <v>107.0408391402961</v>
      </c>
      <c r="AR89" s="6" t="e">
        <f>#REF!</f>
        <v>#REF!</v>
      </c>
      <c r="AS89" s="6" t="e">
        <f>#REF!</f>
        <v>#REF!</v>
      </c>
      <c r="AT89" s="6" t="e">
        <f>#REF!</f>
        <v>#REF!</v>
      </c>
      <c r="AU89" s="6" t="e">
        <f>#REF!</f>
        <v>#REF!</v>
      </c>
      <c r="AV89" s="6" t="e">
        <f>#REF!</f>
        <v>#REF!</v>
      </c>
      <c r="AW89" s="6" t="e">
        <f>#REF!</f>
        <v>#REF!</v>
      </c>
      <c r="AX89" s="6" t="e">
        <f>#REF!</f>
        <v>#REF!</v>
      </c>
    </row>
    <row r="90" spans="1:50" x14ac:dyDescent="0.25">
      <c r="A90" s="4" t="e">
        <f>#REF!</f>
        <v>#REF!</v>
      </c>
      <c r="B90" s="4" t="e">
        <f t="shared" si="7"/>
        <v>#REF!</v>
      </c>
      <c r="C90" s="5">
        <f>№1!U95</f>
        <v>5.2889443814337813</v>
      </c>
      <c r="D90" s="5" t="e">
        <f>#REF!</f>
        <v>#REF!</v>
      </c>
      <c r="E90" s="5" t="e">
        <f>#REF!</f>
        <v>#REF!</v>
      </c>
      <c r="F90" s="5" t="e">
        <f>#REF!</f>
        <v>#REF!</v>
      </c>
      <c r="G90" s="5" t="e">
        <f>#REF!</f>
        <v>#REF!</v>
      </c>
      <c r="H90" s="5" t="e">
        <f>#REF!</f>
        <v>#REF!</v>
      </c>
      <c r="I90" s="5" t="e">
        <f>#REF!</f>
        <v>#REF!</v>
      </c>
      <c r="J90" s="5" t="e">
        <f>#REF!</f>
        <v>#REF!</v>
      </c>
      <c r="K90" s="6">
        <f>№1!P95</f>
        <v>37.233690000000003</v>
      </c>
      <c r="L90" s="6" t="e">
        <f>#REF!</f>
        <v>#REF!</v>
      </c>
      <c r="M90" s="6" t="e">
        <f>#REF!</f>
        <v>#REF!</v>
      </c>
      <c r="N90" s="6" t="e">
        <f>#REF!</f>
        <v>#REF!</v>
      </c>
      <c r="O90" s="6" t="e">
        <f>#REF!</f>
        <v>#REF!</v>
      </c>
      <c r="P90" s="6" t="e">
        <f>#REF!</f>
        <v>#REF!</v>
      </c>
      <c r="Q90" s="6" t="e">
        <f>#REF!</f>
        <v>#REF!</v>
      </c>
      <c r="R90" s="6" t="e">
        <f>#REF!</f>
        <v>#REF!</v>
      </c>
      <c r="S90" s="5">
        <f>№1!R95</f>
        <v>0.17383399999999999</v>
      </c>
      <c r="T90" s="5" t="e">
        <f>#REF!</f>
        <v>#REF!</v>
      </c>
      <c r="U90" s="5" t="e">
        <f>#REF!</f>
        <v>#REF!</v>
      </c>
      <c r="V90" s="5" t="e">
        <f>#REF!</f>
        <v>#REF!</v>
      </c>
      <c r="W90" s="5" t="e">
        <f>#REF!</f>
        <v>#REF!</v>
      </c>
      <c r="X90" s="5" t="e">
        <f>#REF!</f>
        <v>#REF!</v>
      </c>
      <c r="Y90" s="5" t="e">
        <f>#REF!</f>
        <v>#REF!</v>
      </c>
      <c r="Z90" s="5" t="e">
        <f>#REF!</f>
        <v>#REF!</v>
      </c>
      <c r="AA90" s="6">
        <f>№1!Q95</f>
        <v>-1.8799999999999999E-4</v>
      </c>
      <c r="AB90" s="6" t="e">
        <f>#REF!</f>
        <v>#REF!</v>
      </c>
      <c r="AC90" s="6" t="e">
        <f>#REF!</f>
        <v>#REF!</v>
      </c>
      <c r="AD90" s="6" t="e">
        <f>#REF!</f>
        <v>#REF!</v>
      </c>
      <c r="AE90" s="6" t="e">
        <f>#REF!</f>
        <v>#REF!</v>
      </c>
      <c r="AF90" s="6" t="e">
        <f>#REF!</f>
        <v>#REF!</v>
      </c>
      <c r="AG90" s="6" t="e">
        <f>#REF!</f>
        <v>#REF!</v>
      </c>
      <c r="AH90" s="6" t="e">
        <f>#REF!</f>
        <v>#REF!</v>
      </c>
      <c r="AI90" s="5">
        <f>№1!S95</f>
        <v>19.233689999999999</v>
      </c>
      <c r="AJ90" s="5" t="e">
        <f>#REF!</f>
        <v>#REF!</v>
      </c>
      <c r="AK90" s="5" t="e">
        <f>#REF!</f>
        <v>#REF!</v>
      </c>
      <c r="AL90" s="5" t="e">
        <f>#REF!</f>
        <v>#REF!</v>
      </c>
      <c r="AM90" s="5" t="e">
        <f>#REF!</f>
        <v>#REF!</v>
      </c>
      <c r="AN90" s="5" t="e">
        <f>#REF!</f>
        <v>#REF!</v>
      </c>
      <c r="AO90" s="5" t="e">
        <f>#REF!</f>
        <v>#REF!</v>
      </c>
      <c r="AP90" s="5" t="e">
        <f>#REF!</f>
        <v>#REF!</v>
      </c>
      <c r="AQ90" s="6">
        <f>№1!T95</f>
        <v>107.36533225839764</v>
      </c>
      <c r="AR90" s="6" t="e">
        <f>#REF!</f>
        <v>#REF!</v>
      </c>
      <c r="AS90" s="6" t="e">
        <f>#REF!</f>
        <v>#REF!</v>
      </c>
      <c r="AT90" s="6" t="e">
        <f>#REF!</f>
        <v>#REF!</v>
      </c>
      <c r="AU90" s="6" t="e">
        <f>#REF!</f>
        <v>#REF!</v>
      </c>
      <c r="AV90" s="6" t="e">
        <f>#REF!</f>
        <v>#REF!</v>
      </c>
      <c r="AW90" s="6" t="e">
        <f>#REF!</f>
        <v>#REF!</v>
      </c>
      <c r="AX90" s="6" t="e">
        <f>#REF!</f>
        <v>#REF!</v>
      </c>
    </row>
    <row r="91" spans="1:50" x14ac:dyDescent="0.25">
      <c r="A91" s="3" t="e">
        <f>#REF!</f>
        <v>#REF!</v>
      </c>
      <c r="B91" s="4" t="e">
        <f t="shared" si="7"/>
        <v>#REF!</v>
      </c>
      <c r="C91" s="5">
        <f>№1!U96</f>
        <v>5.1537150186179117</v>
      </c>
      <c r="D91" s="5" t="e">
        <f>#REF!</f>
        <v>#REF!</v>
      </c>
      <c r="E91" s="5" t="e">
        <f>#REF!</f>
        <v>#REF!</v>
      </c>
      <c r="F91" s="5" t="e">
        <f>#REF!</f>
        <v>#REF!</v>
      </c>
      <c r="G91" s="5" t="e">
        <f>#REF!</f>
        <v>#REF!</v>
      </c>
      <c r="H91" s="5" t="e">
        <f>#REF!</f>
        <v>#REF!</v>
      </c>
      <c r="I91" s="5" t="e">
        <f>#REF!</f>
        <v>#REF!</v>
      </c>
      <c r="J91" s="5" t="e">
        <f>#REF!</f>
        <v>#REF!</v>
      </c>
      <c r="K91" s="6">
        <f>№1!P96</f>
        <v>37.121203999999999</v>
      </c>
      <c r="L91" s="6" t="e">
        <f>#REF!</f>
        <v>#REF!</v>
      </c>
      <c r="M91" s="6" t="e">
        <f>#REF!</f>
        <v>#REF!</v>
      </c>
      <c r="N91" s="6" t="e">
        <f>#REF!</f>
        <v>#REF!</v>
      </c>
      <c r="O91" s="6" t="e">
        <f>#REF!</f>
        <v>#REF!</v>
      </c>
      <c r="P91" s="6" t="e">
        <f>#REF!</f>
        <v>#REF!</v>
      </c>
      <c r="Q91" s="6" t="e">
        <f>#REF!</f>
        <v>#REF!</v>
      </c>
      <c r="R91" s="6" t="e">
        <f>#REF!</f>
        <v>#REF!</v>
      </c>
      <c r="S91" s="5">
        <f>№1!R96</f>
        <v>0.17127500000000001</v>
      </c>
      <c r="T91" s="5" t="e">
        <f>#REF!</f>
        <v>#REF!</v>
      </c>
      <c r="U91" s="5" t="e">
        <f>#REF!</f>
        <v>#REF!</v>
      </c>
      <c r="V91" s="5" t="e">
        <f>#REF!</f>
        <v>#REF!</v>
      </c>
      <c r="W91" s="5" t="e">
        <f>#REF!</f>
        <v>#REF!</v>
      </c>
      <c r="X91" s="5" t="e">
        <f>#REF!</f>
        <v>#REF!</v>
      </c>
      <c r="Y91" s="5" t="e">
        <f>#REF!</f>
        <v>#REF!</v>
      </c>
      <c r="Z91" s="5" t="e">
        <f>#REF!</f>
        <v>#REF!</v>
      </c>
      <c r="AA91" s="6">
        <f>№1!Q96</f>
        <v>1.0399999999999999E-4</v>
      </c>
      <c r="AB91" s="6" t="e">
        <f>#REF!</f>
        <v>#REF!</v>
      </c>
      <c r="AC91" s="6" t="e">
        <f>#REF!</f>
        <v>#REF!</v>
      </c>
      <c r="AD91" s="6" t="e">
        <f>#REF!</f>
        <v>#REF!</v>
      </c>
      <c r="AE91" s="6" t="e">
        <f>#REF!</f>
        <v>#REF!</v>
      </c>
      <c r="AF91" s="6" t="e">
        <f>#REF!</f>
        <v>#REF!</v>
      </c>
      <c r="AG91" s="6" t="e">
        <f>#REF!</f>
        <v>#REF!</v>
      </c>
      <c r="AH91" s="6" t="e">
        <f>#REF!</f>
        <v>#REF!</v>
      </c>
      <c r="AI91" s="5">
        <f>№1!S96</f>
        <v>19.121203999999999</v>
      </c>
      <c r="AJ91" s="5" t="e">
        <f>#REF!</f>
        <v>#REF!</v>
      </c>
      <c r="AK91" s="5" t="e">
        <f>#REF!</f>
        <v>#REF!</v>
      </c>
      <c r="AL91" s="5" t="e">
        <f>#REF!</f>
        <v>#REF!</v>
      </c>
      <c r="AM91" s="5" t="e">
        <f>#REF!</f>
        <v>#REF!</v>
      </c>
      <c r="AN91" s="5" t="e">
        <f>#REF!</f>
        <v>#REF!</v>
      </c>
      <c r="AO91" s="5" t="e">
        <f>#REF!</f>
        <v>#REF!</v>
      </c>
      <c r="AP91" s="5" t="e">
        <f>#REF!</f>
        <v>#REF!</v>
      </c>
      <c r="AQ91" s="6">
        <f>№1!T96</f>
        <v>106.14966082469488</v>
      </c>
      <c r="AR91" s="6" t="e">
        <f>#REF!</f>
        <v>#REF!</v>
      </c>
      <c r="AS91" s="6" t="e">
        <f>#REF!</f>
        <v>#REF!</v>
      </c>
      <c r="AT91" s="6" t="e">
        <f>#REF!</f>
        <v>#REF!</v>
      </c>
      <c r="AU91" s="6" t="e">
        <f>#REF!</f>
        <v>#REF!</v>
      </c>
      <c r="AV91" s="6" t="e">
        <f>#REF!</f>
        <v>#REF!</v>
      </c>
      <c r="AW91" s="6" t="e">
        <f>#REF!</f>
        <v>#REF!</v>
      </c>
      <c r="AX91" s="6" t="e">
        <f>#REF!</f>
        <v>#REF!</v>
      </c>
    </row>
  </sheetData>
  <mergeCells count="8">
    <mergeCell ref="A4:A5"/>
    <mergeCell ref="K4:R4"/>
    <mergeCell ref="S4:Z4"/>
    <mergeCell ref="C4:J4"/>
    <mergeCell ref="AA4:AH4"/>
    <mergeCell ref="AQ4:AX4"/>
    <mergeCell ref="B4:B5"/>
    <mergeCell ref="AI4:AP4"/>
  </mergeCells>
  <pageMargins left="0.25" right="0.25" top="0.75" bottom="0.75" header="0.3" footer="0.3"/>
  <pageSetup paperSize="9" scale="2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zoomScale="85" zoomScaleNormal="85" workbookViewId="0">
      <selection activeCell="T11" sqref="T11"/>
    </sheetView>
  </sheetViews>
  <sheetFormatPr defaultColWidth="8.85546875" defaultRowHeight="15" x14ac:dyDescent="0.25"/>
  <cols>
    <col min="10" max="10" width="7.42578125" customWidth="1"/>
    <col min="11" max="11" width="6.140625" customWidth="1"/>
    <col min="12" max="12" width="11.85546875" customWidth="1"/>
    <col min="14" max="15" width="7" customWidth="1"/>
    <col min="16" max="16" width="7.85546875" customWidth="1"/>
    <col min="17" max="17" width="7.42578125" customWidth="1"/>
    <col min="18" max="18" width="6" customWidth="1"/>
    <col min="20" max="20" width="8.42578125" customWidth="1"/>
  </cols>
  <sheetData>
    <row r="1" spans="1:21" x14ac:dyDescent="0.25">
      <c r="A1" s="7" t="s">
        <v>12</v>
      </c>
      <c r="B1" s="7">
        <v>18</v>
      </c>
      <c r="C1" s="7"/>
      <c r="D1" s="7"/>
      <c r="E1" s="7"/>
    </row>
    <row r="2" spans="1:21" x14ac:dyDescent="0.25">
      <c r="A2" s="7" t="s">
        <v>13</v>
      </c>
      <c r="B2" s="7">
        <v>20</v>
      </c>
      <c r="C2" s="7"/>
      <c r="D2" s="7"/>
      <c r="E2" s="7"/>
    </row>
    <row r="3" spans="1:21" x14ac:dyDescent="0.25">
      <c r="A3" s="7" t="s">
        <v>14</v>
      </c>
      <c r="B3" s="7">
        <v>80</v>
      </c>
      <c r="C3" s="7"/>
      <c r="D3" s="7"/>
      <c r="E3" s="7"/>
    </row>
    <row r="4" spans="1:21" x14ac:dyDescent="0.25">
      <c r="A4" s="7" t="s">
        <v>15</v>
      </c>
      <c r="B4" s="7">
        <v>1000</v>
      </c>
      <c r="C4" s="7"/>
      <c r="D4" s="7"/>
      <c r="E4" s="7"/>
    </row>
    <row r="5" spans="1:21" x14ac:dyDescent="0.25">
      <c r="A5" s="7" t="s">
        <v>16</v>
      </c>
      <c r="B5" s="7">
        <v>0.1</v>
      </c>
      <c r="C5" s="7"/>
      <c r="D5" s="7"/>
      <c r="E5" s="7"/>
    </row>
    <row r="6" spans="1:21" x14ac:dyDescent="0.25">
      <c r="A6" s="7" t="s">
        <v>17</v>
      </c>
      <c r="B6" s="7">
        <v>650</v>
      </c>
      <c r="C6" s="7"/>
      <c r="D6" s="7"/>
      <c r="E6" s="7"/>
    </row>
    <row r="7" spans="1:21" x14ac:dyDescent="0.25">
      <c r="A7" s="7" t="s">
        <v>18</v>
      </c>
      <c r="B7" s="7">
        <v>28</v>
      </c>
      <c r="C7" s="7"/>
      <c r="D7" s="7"/>
      <c r="E7" s="7"/>
    </row>
    <row r="8" spans="1:21" x14ac:dyDescent="0.25">
      <c r="A8" s="7" t="s">
        <v>19</v>
      </c>
      <c r="B8" s="7"/>
      <c r="C8" s="7"/>
      <c r="D8" s="7"/>
      <c r="E8" s="7"/>
    </row>
    <row r="9" spans="1:21" x14ac:dyDescent="0.25">
      <c r="A9" s="7" t="s">
        <v>20</v>
      </c>
      <c r="B9" s="7"/>
      <c r="C9" s="7"/>
      <c r="D9" s="7"/>
      <c r="E9" s="7"/>
    </row>
    <row r="10" spans="1:21" x14ac:dyDescent="0.25">
      <c r="A10" s="7" t="s">
        <v>21</v>
      </c>
      <c r="B10" s="7" t="s">
        <v>22</v>
      </c>
      <c r="C10" s="7" t="s">
        <v>23</v>
      </c>
      <c r="D10" s="7" t="s">
        <v>24</v>
      </c>
      <c r="E10" s="7" t="s">
        <v>25</v>
      </c>
      <c r="F10" t="s">
        <v>26</v>
      </c>
      <c r="G10" t="s">
        <v>27</v>
      </c>
      <c r="H10" t="s">
        <v>28</v>
      </c>
      <c r="J10" s="8" t="s">
        <v>29</v>
      </c>
      <c r="K10" s="8" t="s">
        <v>30</v>
      </c>
      <c r="L10" s="8" t="s">
        <v>31</v>
      </c>
      <c r="M10" s="8" t="s">
        <v>32</v>
      </c>
      <c r="N10" s="8" t="s">
        <v>33</v>
      </c>
      <c r="O10" s="8" t="s">
        <v>34</v>
      </c>
      <c r="P10" s="8" t="str">
        <f t="shared" ref="P10:U10" si="0">C10</f>
        <v>P, dBm</v>
      </c>
      <c r="Q10" s="8" t="str">
        <f t="shared" si="0"/>
        <v>IG, mA</v>
      </c>
      <c r="R10" s="8" t="str">
        <f t="shared" si="0"/>
        <v>ID, A</v>
      </c>
      <c r="S10" s="8" t="str">
        <f t="shared" si="0"/>
        <v>Gain, dB</v>
      </c>
      <c r="T10" s="8" t="str">
        <f t="shared" si="0"/>
        <v> ѕƒ, %</v>
      </c>
      <c r="U10" s="8" t="str">
        <f t="shared" si="0"/>
        <v>Pвых, W</v>
      </c>
    </row>
    <row r="11" spans="1:21" x14ac:dyDescent="0.25">
      <c r="A11" s="7">
        <v>1</v>
      </c>
      <c r="B11" s="7">
        <v>500000000</v>
      </c>
      <c r="C11" s="7">
        <v>33.513216999999997</v>
      </c>
      <c r="D11" s="7">
        <v>4.8999999999999998E-5</v>
      </c>
      <c r="E11" s="7">
        <v>0.140955</v>
      </c>
      <c r="F11">
        <v>15.513216999999999</v>
      </c>
      <c r="G11">
        <v>5.5297390000000002</v>
      </c>
      <c r="H11">
        <v>2.2455449999999999</v>
      </c>
      <c r="J11" s="8">
        <v>0</v>
      </c>
      <c r="K11" s="8">
        <v>1</v>
      </c>
      <c r="L11" s="8">
        <v>0</v>
      </c>
      <c r="M11" s="8">
        <v>0</v>
      </c>
      <c r="N11" s="8">
        <f>B7</f>
        <v>28</v>
      </c>
      <c r="O11" s="9">
        <f>(10^(B1/10))/1000</f>
        <v>6.3095734448019358E-2</v>
      </c>
      <c r="P11" s="9">
        <f t="shared" ref="P11:P42" si="1">C11+J11</f>
        <v>33.513216999999997</v>
      </c>
      <c r="Q11" s="9">
        <f t="shared" ref="Q11:Q42" si="2">D11-L11</f>
        <v>4.8999999999999998E-5</v>
      </c>
      <c r="R11" s="9">
        <f t="shared" ref="R11:R42" si="3">(E11-M11)*K11</f>
        <v>0.140955</v>
      </c>
      <c r="S11" s="9">
        <f t="shared" ref="S11:S42" si="4">F11+J11</f>
        <v>15.513216999999999</v>
      </c>
      <c r="T11" s="9">
        <f t="shared" ref="T11:T42" si="5">((U11-O11)/(N11*R11))*100</f>
        <v>55.297509890059473</v>
      </c>
      <c r="U11" s="9">
        <f t="shared" ref="U11:U42" si="6">(10^(P11/10))/1000</f>
        <v>2.2455446762829525</v>
      </c>
    </row>
    <row r="12" spans="1:21" x14ac:dyDescent="0.25">
      <c r="A12" s="7">
        <v>2</v>
      </c>
      <c r="B12" s="7">
        <v>600000000</v>
      </c>
      <c r="C12" s="7">
        <v>34.938403000000001</v>
      </c>
      <c r="D12" s="7">
        <v>-2.13E-4</v>
      </c>
      <c r="E12" s="7">
        <v>0.12731000000000001</v>
      </c>
      <c r="F12">
        <v>16.938403000000001</v>
      </c>
      <c r="G12">
        <v>8.5692350000000008</v>
      </c>
      <c r="H12">
        <v>3.1177429999999999</v>
      </c>
      <c r="J12" s="8">
        <v>0</v>
      </c>
      <c r="K12" s="8">
        <f t="shared" ref="K12:K43" si="7">K11</f>
        <v>1</v>
      </c>
      <c r="L12" s="8">
        <f t="shared" ref="L12:L43" si="8">L11</f>
        <v>0</v>
      </c>
      <c r="M12" s="8">
        <f t="shared" ref="M12:M43" si="9">M11</f>
        <v>0</v>
      </c>
      <c r="N12" s="8">
        <f t="shared" ref="N12:N43" si="10">N11</f>
        <v>28</v>
      </c>
      <c r="O12" s="9">
        <f t="shared" ref="O12:O43" si="11">O11</f>
        <v>6.3095734448019358E-2</v>
      </c>
      <c r="P12" s="9">
        <f t="shared" si="1"/>
        <v>34.938403000000001</v>
      </c>
      <c r="Q12" s="9">
        <f t="shared" si="2"/>
        <v>-2.13E-4</v>
      </c>
      <c r="R12" s="9">
        <f t="shared" si="3"/>
        <v>0.12731000000000001</v>
      </c>
      <c r="S12" s="9">
        <f t="shared" si="4"/>
        <v>16.938403000000001</v>
      </c>
      <c r="T12" s="9">
        <f t="shared" si="5"/>
        <v>85.692044546911632</v>
      </c>
      <c r="U12" s="9">
        <f t="shared" si="6"/>
        <v>3.1177429080028691</v>
      </c>
    </row>
    <row r="13" spans="1:21" x14ac:dyDescent="0.25">
      <c r="A13" s="7">
        <v>3</v>
      </c>
      <c r="B13" s="7">
        <v>700000000</v>
      </c>
      <c r="C13" s="7">
        <v>36.204166000000001</v>
      </c>
      <c r="D13" s="7">
        <v>1.8E-5</v>
      </c>
      <c r="E13" s="7">
        <v>0.114457</v>
      </c>
      <c r="F13">
        <v>18.204166000000001</v>
      </c>
      <c r="G13">
        <v>12.823242</v>
      </c>
      <c r="H13">
        <v>4.172695</v>
      </c>
      <c r="J13" s="8">
        <v>0</v>
      </c>
      <c r="K13" s="8">
        <f t="shared" si="7"/>
        <v>1</v>
      </c>
      <c r="L13" s="8">
        <f t="shared" si="8"/>
        <v>0</v>
      </c>
      <c r="M13" s="8">
        <f t="shared" si="9"/>
        <v>0</v>
      </c>
      <c r="N13" s="8">
        <f t="shared" si="10"/>
        <v>28</v>
      </c>
      <c r="O13" s="9">
        <f t="shared" si="11"/>
        <v>6.3095734448019358E-2</v>
      </c>
      <c r="P13" s="9">
        <f t="shared" si="1"/>
        <v>36.204166000000001</v>
      </c>
      <c r="Q13" s="9">
        <f t="shared" si="2"/>
        <v>1.8E-5</v>
      </c>
      <c r="R13" s="9">
        <f t="shared" si="3"/>
        <v>0.114457</v>
      </c>
      <c r="S13" s="9">
        <f t="shared" si="4"/>
        <v>18.204166000000001</v>
      </c>
      <c r="T13" s="9">
        <f t="shared" si="5"/>
        <v>128.23277573245423</v>
      </c>
      <c r="U13" s="9">
        <f t="shared" si="6"/>
        <v>4.1726946018106839</v>
      </c>
    </row>
    <row r="14" spans="1:21" x14ac:dyDescent="0.25">
      <c r="A14" s="7">
        <v>4</v>
      </c>
      <c r="B14" s="7">
        <v>800000000</v>
      </c>
      <c r="C14" s="7">
        <v>36.624177000000003</v>
      </c>
      <c r="D14" s="7">
        <v>-3.88E-4</v>
      </c>
      <c r="E14" s="7">
        <v>0.110013</v>
      </c>
      <c r="F14">
        <v>18.624177</v>
      </c>
      <c r="G14">
        <v>14.716773999999999</v>
      </c>
      <c r="H14">
        <v>4.5963989999999999</v>
      </c>
      <c r="J14" s="8">
        <v>0</v>
      </c>
      <c r="K14" s="8">
        <f t="shared" si="7"/>
        <v>1</v>
      </c>
      <c r="L14" s="8">
        <f t="shared" si="8"/>
        <v>0</v>
      </c>
      <c r="M14" s="8">
        <f t="shared" si="9"/>
        <v>0</v>
      </c>
      <c r="N14" s="8">
        <f t="shared" si="10"/>
        <v>28</v>
      </c>
      <c r="O14" s="9">
        <f t="shared" si="11"/>
        <v>6.3095734448019358E-2</v>
      </c>
      <c r="P14" s="9">
        <f t="shared" si="1"/>
        <v>36.624177000000003</v>
      </c>
      <c r="Q14" s="9">
        <f t="shared" si="2"/>
        <v>-3.88E-4</v>
      </c>
      <c r="R14" s="9">
        <f t="shared" si="3"/>
        <v>0.110013</v>
      </c>
      <c r="S14" s="9">
        <f t="shared" si="4"/>
        <v>18.624177</v>
      </c>
      <c r="T14" s="9">
        <f t="shared" si="5"/>
        <v>147.16777101998974</v>
      </c>
      <c r="U14" s="9">
        <f t="shared" si="6"/>
        <v>4.5963987725502164</v>
      </c>
    </row>
    <row r="15" spans="1:21" x14ac:dyDescent="0.25">
      <c r="A15" s="7">
        <v>5</v>
      </c>
      <c r="B15" s="7">
        <v>900000000</v>
      </c>
      <c r="C15" s="7">
        <v>37.00573</v>
      </c>
      <c r="D15" s="7">
        <v>-4.08E-4</v>
      </c>
      <c r="E15" s="7">
        <v>0.105518</v>
      </c>
      <c r="F15">
        <v>19.00573</v>
      </c>
      <c r="G15">
        <v>16.772386999999998</v>
      </c>
      <c r="H15">
        <v>5.0184889999999998</v>
      </c>
      <c r="J15" s="8">
        <v>0</v>
      </c>
      <c r="K15" s="8">
        <f t="shared" si="7"/>
        <v>1</v>
      </c>
      <c r="L15" s="8">
        <f t="shared" si="8"/>
        <v>0</v>
      </c>
      <c r="M15" s="8">
        <f t="shared" si="9"/>
        <v>0</v>
      </c>
      <c r="N15" s="8">
        <f t="shared" si="10"/>
        <v>28</v>
      </c>
      <c r="O15" s="9">
        <f t="shared" si="11"/>
        <v>6.3095734448019358E-2</v>
      </c>
      <c r="P15" s="9">
        <f t="shared" si="1"/>
        <v>37.00573</v>
      </c>
      <c r="Q15" s="9">
        <f t="shared" si="2"/>
        <v>-4.08E-4</v>
      </c>
      <c r="R15" s="9">
        <f t="shared" si="3"/>
        <v>0.105518</v>
      </c>
      <c r="S15" s="9">
        <f t="shared" si="4"/>
        <v>19.00573</v>
      </c>
      <c r="T15" s="9">
        <f t="shared" si="5"/>
        <v>167.7233652898752</v>
      </c>
      <c r="U15" s="9">
        <f t="shared" si="6"/>
        <v>5.0184892708719939</v>
      </c>
    </row>
    <row r="16" spans="1:21" x14ac:dyDescent="0.25">
      <c r="A16" s="7">
        <v>6</v>
      </c>
      <c r="B16" s="7">
        <v>1000000000</v>
      </c>
      <c r="C16" s="7">
        <v>37.236555000000003</v>
      </c>
      <c r="D16" s="7">
        <v>2.24E-4</v>
      </c>
      <c r="E16" s="7">
        <v>0.103911</v>
      </c>
      <c r="F16">
        <v>19.236554999999999</v>
      </c>
      <c r="G16">
        <v>17.973241999999999</v>
      </c>
      <c r="H16">
        <v>5.2924350000000002</v>
      </c>
      <c r="J16" s="8">
        <v>0</v>
      </c>
      <c r="K16" s="8">
        <f t="shared" si="7"/>
        <v>1</v>
      </c>
      <c r="L16" s="8">
        <f t="shared" si="8"/>
        <v>0</v>
      </c>
      <c r="M16" s="8">
        <f t="shared" si="9"/>
        <v>0</v>
      </c>
      <c r="N16" s="8">
        <f t="shared" si="10"/>
        <v>28</v>
      </c>
      <c r="O16" s="9">
        <f t="shared" si="11"/>
        <v>6.3095734448019358E-2</v>
      </c>
      <c r="P16" s="9">
        <f t="shared" si="1"/>
        <v>37.236555000000003</v>
      </c>
      <c r="Q16" s="9">
        <f t="shared" si="2"/>
        <v>2.24E-4</v>
      </c>
      <c r="R16" s="9">
        <f t="shared" si="3"/>
        <v>0.103911</v>
      </c>
      <c r="S16" s="9">
        <f t="shared" si="4"/>
        <v>19.236554999999999</v>
      </c>
      <c r="T16" s="9">
        <f t="shared" si="5"/>
        <v>179.73275430546278</v>
      </c>
      <c r="U16" s="9">
        <f t="shared" si="6"/>
        <v>5.2924345995858042</v>
      </c>
    </row>
    <row r="17" spans="1:21" x14ac:dyDescent="0.25">
      <c r="A17" s="7">
        <v>7</v>
      </c>
      <c r="B17" s="7">
        <v>1100000000</v>
      </c>
      <c r="C17" s="7">
        <v>37.771552</v>
      </c>
      <c r="D17" s="7">
        <v>-3.8999999999999999E-5</v>
      </c>
      <c r="E17" s="7">
        <v>0.104119</v>
      </c>
      <c r="F17">
        <v>19.771552</v>
      </c>
      <c r="G17">
        <v>20.317276</v>
      </c>
      <c r="H17">
        <v>5.9862539999999997</v>
      </c>
      <c r="J17" s="8">
        <v>0</v>
      </c>
      <c r="K17" s="8">
        <f t="shared" si="7"/>
        <v>1</v>
      </c>
      <c r="L17" s="8">
        <f t="shared" si="8"/>
        <v>0</v>
      </c>
      <c r="M17" s="8">
        <f t="shared" si="9"/>
        <v>0</v>
      </c>
      <c r="N17" s="8">
        <f t="shared" si="10"/>
        <v>28</v>
      </c>
      <c r="O17" s="9">
        <f t="shared" si="11"/>
        <v>6.3095734448019358E-2</v>
      </c>
      <c r="P17" s="9">
        <f t="shared" si="1"/>
        <v>37.771552</v>
      </c>
      <c r="Q17" s="9">
        <f t="shared" si="2"/>
        <v>-3.8999999999999999E-5</v>
      </c>
      <c r="R17" s="9">
        <f t="shared" si="3"/>
        <v>0.104119</v>
      </c>
      <c r="S17" s="9">
        <f t="shared" si="4"/>
        <v>19.771552</v>
      </c>
      <c r="T17" s="9">
        <f t="shared" si="5"/>
        <v>203.17271203427563</v>
      </c>
      <c r="U17" s="9">
        <f t="shared" si="6"/>
        <v>5.9862548236511079</v>
      </c>
    </row>
    <row r="18" spans="1:21" x14ac:dyDescent="0.25">
      <c r="A18" s="7">
        <v>8</v>
      </c>
      <c r="B18" s="7">
        <v>1200000000</v>
      </c>
      <c r="C18" s="7">
        <v>37.939962999999999</v>
      </c>
      <c r="D18" s="7">
        <v>3.4999999999999997E-5</v>
      </c>
      <c r="E18" s="7">
        <v>0.10525900000000001</v>
      </c>
      <c r="F18">
        <v>19.939962999999999</v>
      </c>
      <c r="G18">
        <v>20.900258000000001</v>
      </c>
      <c r="H18">
        <v>6.22295</v>
      </c>
      <c r="J18" s="8">
        <v>0</v>
      </c>
      <c r="K18" s="8">
        <f t="shared" si="7"/>
        <v>1</v>
      </c>
      <c r="L18" s="8">
        <f t="shared" si="8"/>
        <v>0</v>
      </c>
      <c r="M18" s="8">
        <f t="shared" si="9"/>
        <v>0</v>
      </c>
      <c r="N18" s="8">
        <f t="shared" si="10"/>
        <v>28</v>
      </c>
      <c r="O18" s="9">
        <f t="shared" si="11"/>
        <v>6.3095734448019358E-2</v>
      </c>
      <c r="P18" s="9">
        <f t="shared" si="1"/>
        <v>37.939962999999999</v>
      </c>
      <c r="Q18" s="9">
        <f t="shared" si="2"/>
        <v>3.4999999999999997E-5</v>
      </c>
      <c r="R18" s="9">
        <f t="shared" si="3"/>
        <v>0.10525900000000001</v>
      </c>
      <c r="S18" s="9">
        <f t="shared" si="4"/>
        <v>19.939962999999999</v>
      </c>
      <c r="T18" s="9">
        <f t="shared" si="5"/>
        <v>209.00330545854581</v>
      </c>
      <c r="U18" s="9">
        <f t="shared" si="6"/>
        <v>6.2229498346411205</v>
      </c>
    </row>
    <row r="19" spans="1:21" x14ac:dyDescent="0.25">
      <c r="A19" s="7">
        <v>9</v>
      </c>
      <c r="B19" s="7">
        <v>1300000000</v>
      </c>
      <c r="C19" s="7">
        <v>38.437696000000003</v>
      </c>
      <c r="D19" s="7">
        <v>-1.6000000000000001E-4</v>
      </c>
      <c r="E19" s="7">
        <v>0.110634</v>
      </c>
      <c r="F19">
        <v>20.437695999999999</v>
      </c>
      <c r="G19">
        <v>22.324407000000001</v>
      </c>
      <c r="H19">
        <v>6.9786200000000003</v>
      </c>
      <c r="J19" s="8">
        <v>0</v>
      </c>
      <c r="K19" s="8">
        <f t="shared" si="7"/>
        <v>1</v>
      </c>
      <c r="L19" s="8">
        <f t="shared" si="8"/>
        <v>0</v>
      </c>
      <c r="M19" s="8">
        <f t="shared" si="9"/>
        <v>0</v>
      </c>
      <c r="N19" s="8">
        <f t="shared" si="10"/>
        <v>28</v>
      </c>
      <c r="O19" s="9">
        <f t="shared" si="11"/>
        <v>6.3095734448019358E-2</v>
      </c>
      <c r="P19" s="9">
        <f t="shared" si="1"/>
        <v>38.437696000000003</v>
      </c>
      <c r="Q19" s="9">
        <f t="shared" si="2"/>
        <v>-1.6000000000000001E-4</v>
      </c>
      <c r="R19" s="9">
        <f t="shared" si="3"/>
        <v>0.110634</v>
      </c>
      <c r="S19" s="9">
        <f t="shared" si="4"/>
        <v>20.437695999999999</v>
      </c>
      <c r="T19" s="9">
        <f t="shared" si="5"/>
        <v>223.24334087624203</v>
      </c>
      <c r="U19" s="9">
        <f t="shared" si="6"/>
        <v>6.9786207913086233</v>
      </c>
    </row>
    <row r="20" spans="1:21" x14ac:dyDescent="0.25">
      <c r="A20" s="7">
        <v>10</v>
      </c>
      <c r="B20" s="7">
        <v>1400000000</v>
      </c>
      <c r="C20" s="7">
        <v>39.122292999999999</v>
      </c>
      <c r="D20" s="7">
        <v>-2.1800000000000001E-4</v>
      </c>
      <c r="E20" s="7">
        <v>0.119502</v>
      </c>
      <c r="F20">
        <v>21.122292999999999</v>
      </c>
      <c r="G20">
        <v>24.228629000000002</v>
      </c>
      <c r="H20">
        <v>8.1701359999999994</v>
      </c>
      <c r="J20" s="8">
        <v>0</v>
      </c>
      <c r="K20" s="8">
        <f t="shared" si="7"/>
        <v>1</v>
      </c>
      <c r="L20" s="8">
        <f t="shared" si="8"/>
        <v>0</v>
      </c>
      <c r="M20" s="8">
        <f t="shared" si="9"/>
        <v>0</v>
      </c>
      <c r="N20" s="8">
        <f t="shared" si="10"/>
        <v>28</v>
      </c>
      <c r="O20" s="9">
        <f t="shared" si="11"/>
        <v>6.3095734448019358E-2</v>
      </c>
      <c r="P20" s="9">
        <f t="shared" si="1"/>
        <v>39.122292999999999</v>
      </c>
      <c r="Q20" s="9">
        <f t="shared" si="2"/>
        <v>-2.1800000000000001E-4</v>
      </c>
      <c r="R20" s="9">
        <f t="shared" si="3"/>
        <v>0.119502</v>
      </c>
      <c r="S20" s="9">
        <f t="shared" si="4"/>
        <v>21.122292999999999</v>
      </c>
      <c r="T20" s="9">
        <f t="shared" si="5"/>
        <v>242.28645700105687</v>
      </c>
      <c r="U20" s="9">
        <f t="shared" si="6"/>
        <v>8.170136266119302</v>
      </c>
    </row>
    <row r="21" spans="1:21" x14ac:dyDescent="0.25">
      <c r="A21" s="7">
        <v>11</v>
      </c>
      <c r="B21" s="7">
        <v>1500000000</v>
      </c>
      <c r="C21" s="7">
        <v>39.792282</v>
      </c>
      <c r="D21" s="7">
        <v>-1.2999999999999999E-5</v>
      </c>
      <c r="E21" s="7">
        <v>0.12764400000000001</v>
      </c>
      <c r="F21">
        <v>21.792282</v>
      </c>
      <c r="G21">
        <v>26.496352000000002</v>
      </c>
      <c r="H21">
        <v>9.5329700000000006</v>
      </c>
      <c r="J21" s="8">
        <v>0</v>
      </c>
      <c r="K21" s="8">
        <f t="shared" si="7"/>
        <v>1</v>
      </c>
      <c r="L21" s="8">
        <f t="shared" si="8"/>
        <v>0</v>
      </c>
      <c r="M21" s="8">
        <f t="shared" si="9"/>
        <v>0</v>
      </c>
      <c r="N21" s="8">
        <f t="shared" si="10"/>
        <v>28</v>
      </c>
      <c r="O21" s="9">
        <f t="shared" si="11"/>
        <v>6.3095734448019358E-2</v>
      </c>
      <c r="P21" s="9">
        <f t="shared" si="1"/>
        <v>39.792282</v>
      </c>
      <c r="Q21" s="9">
        <f t="shared" si="2"/>
        <v>-1.2999999999999999E-5</v>
      </c>
      <c r="R21" s="9">
        <f t="shared" si="3"/>
        <v>0.12764400000000001</v>
      </c>
      <c r="S21" s="9">
        <f t="shared" si="4"/>
        <v>21.792282</v>
      </c>
      <c r="T21" s="9">
        <f t="shared" si="5"/>
        <v>264.96331560566159</v>
      </c>
      <c r="U21" s="9">
        <f t="shared" si="6"/>
        <v>9.5329694224553609</v>
      </c>
    </row>
    <row r="22" spans="1:21" x14ac:dyDescent="0.25">
      <c r="A22" s="7">
        <v>12</v>
      </c>
      <c r="B22" s="7">
        <v>1600000000</v>
      </c>
      <c r="C22" s="7">
        <v>40.269049000000003</v>
      </c>
      <c r="D22" s="7">
        <v>1.21E-4</v>
      </c>
      <c r="E22" s="7">
        <v>0.13125800000000001</v>
      </c>
      <c r="F22">
        <v>22.269048999999999</v>
      </c>
      <c r="G22">
        <v>28.776453</v>
      </c>
      <c r="H22">
        <v>10.639099999999999</v>
      </c>
      <c r="J22" s="8">
        <v>0</v>
      </c>
      <c r="K22" s="8">
        <f t="shared" si="7"/>
        <v>1</v>
      </c>
      <c r="L22" s="8">
        <f t="shared" si="8"/>
        <v>0</v>
      </c>
      <c r="M22" s="8">
        <f t="shared" si="9"/>
        <v>0</v>
      </c>
      <c r="N22" s="8">
        <f t="shared" si="10"/>
        <v>28</v>
      </c>
      <c r="O22" s="9">
        <f t="shared" si="11"/>
        <v>6.3095734448019358E-2</v>
      </c>
      <c r="P22" s="9">
        <f t="shared" si="1"/>
        <v>40.269049000000003</v>
      </c>
      <c r="Q22" s="9">
        <f t="shared" si="2"/>
        <v>1.21E-4</v>
      </c>
      <c r="R22" s="9">
        <f t="shared" si="3"/>
        <v>0.13125800000000001</v>
      </c>
      <c r="S22" s="9">
        <f t="shared" si="4"/>
        <v>22.269048999999999</v>
      </c>
      <c r="T22" s="9">
        <f t="shared" si="5"/>
        <v>287.76489505861792</v>
      </c>
      <c r="U22" s="9">
        <f t="shared" si="6"/>
        <v>10.639100221217161</v>
      </c>
    </row>
    <row r="23" spans="1:21" x14ac:dyDescent="0.25">
      <c r="A23" s="7">
        <v>13</v>
      </c>
      <c r="B23" s="7">
        <v>1700000000</v>
      </c>
      <c r="C23" s="7">
        <v>40.321244</v>
      </c>
      <c r="D23" s="7">
        <v>1.46E-4</v>
      </c>
      <c r="E23" s="7">
        <v>0.134406</v>
      </c>
      <c r="F23">
        <v>22.321244</v>
      </c>
      <c r="G23">
        <v>28.444407000000002</v>
      </c>
      <c r="H23">
        <v>10.767735999999999</v>
      </c>
      <c r="J23" s="8">
        <v>0</v>
      </c>
      <c r="K23" s="8">
        <f t="shared" si="7"/>
        <v>1</v>
      </c>
      <c r="L23" s="8">
        <f t="shared" si="8"/>
        <v>0</v>
      </c>
      <c r="M23" s="8">
        <f t="shared" si="9"/>
        <v>0</v>
      </c>
      <c r="N23" s="8">
        <f t="shared" si="10"/>
        <v>28</v>
      </c>
      <c r="O23" s="9">
        <f t="shared" si="11"/>
        <v>6.3095734448019358E-2</v>
      </c>
      <c r="P23" s="9">
        <f t="shared" si="1"/>
        <v>40.321244</v>
      </c>
      <c r="Q23" s="9">
        <f t="shared" si="2"/>
        <v>1.46E-4</v>
      </c>
      <c r="R23" s="9">
        <f t="shared" si="3"/>
        <v>0.134406</v>
      </c>
      <c r="S23" s="9">
        <f t="shared" si="4"/>
        <v>22.321244</v>
      </c>
      <c r="T23" s="9">
        <f t="shared" si="5"/>
        <v>284.44309160124175</v>
      </c>
      <c r="U23" s="9">
        <f t="shared" si="6"/>
        <v>10.767736021979838</v>
      </c>
    </row>
    <row r="24" spans="1:21" x14ac:dyDescent="0.25">
      <c r="A24" s="7">
        <v>14</v>
      </c>
      <c r="B24" s="7">
        <v>1800000000</v>
      </c>
      <c r="C24" s="7">
        <v>40.564494000000003</v>
      </c>
      <c r="D24" s="7">
        <v>2.5999999999999998E-5</v>
      </c>
      <c r="E24" s="7">
        <v>0.13747799999999999</v>
      </c>
      <c r="F24">
        <v>22.564494</v>
      </c>
      <c r="G24">
        <v>29.420088</v>
      </c>
      <c r="H24">
        <v>11.388052</v>
      </c>
      <c r="J24" s="8">
        <v>0</v>
      </c>
      <c r="K24" s="8">
        <f t="shared" si="7"/>
        <v>1</v>
      </c>
      <c r="L24" s="8">
        <f t="shared" si="8"/>
        <v>0</v>
      </c>
      <c r="M24" s="8">
        <f t="shared" si="9"/>
        <v>0</v>
      </c>
      <c r="N24" s="8">
        <f t="shared" si="10"/>
        <v>28</v>
      </c>
      <c r="O24" s="9">
        <f t="shared" si="11"/>
        <v>6.3095734448019358E-2</v>
      </c>
      <c r="P24" s="9">
        <f t="shared" si="1"/>
        <v>40.564494000000003</v>
      </c>
      <c r="Q24" s="9">
        <f t="shared" si="2"/>
        <v>2.5999999999999998E-5</v>
      </c>
      <c r="R24" s="9">
        <f t="shared" si="3"/>
        <v>0.13747799999999999</v>
      </c>
      <c r="S24" s="9">
        <f t="shared" si="4"/>
        <v>22.564494</v>
      </c>
      <c r="T24" s="9">
        <f t="shared" si="5"/>
        <v>294.2017521770756</v>
      </c>
      <c r="U24" s="9">
        <f t="shared" si="6"/>
        <v>11.388050910472018</v>
      </c>
    </row>
    <row r="25" spans="1:21" x14ac:dyDescent="0.25">
      <c r="A25" s="7">
        <v>15</v>
      </c>
      <c r="B25" s="7">
        <v>1900000000</v>
      </c>
      <c r="C25" s="7">
        <v>40.463489000000003</v>
      </c>
      <c r="D25" s="7">
        <v>-2.4600000000000002E-4</v>
      </c>
      <c r="E25" s="7">
        <v>0.140542</v>
      </c>
      <c r="F25">
        <v>22.463488999999999</v>
      </c>
      <c r="G25">
        <v>28.113503000000001</v>
      </c>
      <c r="H25">
        <v>11.126253</v>
      </c>
      <c r="J25" s="8">
        <v>0</v>
      </c>
      <c r="K25" s="8">
        <f t="shared" si="7"/>
        <v>1</v>
      </c>
      <c r="L25" s="8">
        <f t="shared" si="8"/>
        <v>0</v>
      </c>
      <c r="M25" s="8">
        <f t="shared" si="9"/>
        <v>0</v>
      </c>
      <c r="N25" s="8">
        <f t="shared" si="10"/>
        <v>28</v>
      </c>
      <c r="O25" s="9">
        <f t="shared" si="11"/>
        <v>6.3095734448019358E-2</v>
      </c>
      <c r="P25" s="9">
        <f t="shared" si="1"/>
        <v>40.463489000000003</v>
      </c>
      <c r="Q25" s="9">
        <f t="shared" si="2"/>
        <v>-2.4600000000000002E-4</v>
      </c>
      <c r="R25" s="9">
        <f t="shared" si="3"/>
        <v>0.140542</v>
      </c>
      <c r="S25" s="9">
        <f t="shared" si="4"/>
        <v>22.463488999999999</v>
      </c>
      <c r="T25" s="9">
        <f t="shared" si="5"/>
        <v>281.13498526257558</v>
      </c>
      <c r="U25" s="9">
        <f t="shared" si="6"/>
        <v>11.126252202104432</v>
      </c>
    </row>
    <row r="26" spans="1:21" x14ac:dyDescent="0.25">
      <c r="A26" s="7">
        <v>16</v>
      </c>
      <c r="B26" s="7">
        <v>2000000000</v>
      </c>
      <c r="C26" s="7">
        <v>40.779746000000003</v>
      </c>
      <c r="D26" s="7">
        <v>-2.7500000000000002E-4</v>
      </c>
      <c r="E26" s="7">
        <v>0.14484</v>
      </c>
      <c r="F26">
        <v>22.779745999999999</v>
      </c>
      <c r="G26">
        <v>29.35162</v>
      </c>
      <c r="H26">
        <v>11.966706</v>
      </c>
      <c r="J26" s="8">
        <v>0</v>
      </c>
      <c r="K26" s="8">
        <f t="shared" si="7"/>
        <v>1</v>
      </c>
      <c r="L26" s="8">
        <f t="shared" si="8"/>
        <v>0</v>
      </c>
      <c r="M26" s="8">
        <f t="shared" si="9"/>
        <v>0</v>
      </c>
      <c r="N26" s="8">
        <f t="shared" si="10"/>
        <v>28</v>
      </c>
      <c r="O26" s="9">
        <f t="shared" si="11"/>
        <v>6.3095734448019358E-2</v>
      </c>
      <c r="P26" s="9">
        <f t="shared" si="1"/>
        <v>40.779746000000003</v>
      </c>
      <c r="Q26" s="9">
        <f t="shared" si="2"/>
        <v>-2.7500000000000002E-4</v>
      </c>
      <c r="R26" s="9">
        <f t="shared" si="3"/>
        <v>0.14484</v>
      </c>
      <c r="S26" s="9">
        <f t="shared" si="4"/>
        <v>22.779745999999999</v>
      </c>
      <c r="T26" s="9">
        <f t="shared" si="5"/>
        <v>293.51623657329276</v>
      </c>
      <c r="U26" s="9">
        <f t="shared" si="6"/>
        <v>11.96670541192522</v>
      </c>
    </row>
    <row r="27" spans="1:21" x14ac:dyDescent="0.25">
      <c r="A27" s="7">
        <v>17</v>
      </c>
      <c r="B27" s="7">
        <v>2100000000</v>
      </c>
      <c r="C27" s="7">
        <v>40.736564999999999</v>
      </c>
      <c r="D27" s="7">
        <v>-2.9100000000000003E-4</v>
      </c>
      <c r="E27" s="7">
        <v>0.14109099999999999</v>
      </c>
      <c r="F27">
        <v>22.736564999999999</v>
      </c>
      <c r="G27">
        <v>29.831911999999999</v>
      </c>
      <c r="H27">
        <v>11.848312</v>
      </c>
      <c r="J27" s="8">
        <v>0</v>
      </c>
      <c r="K27" s="8">
        <f t="shared" si="7"/>
        <v>1</v>
      </c>
      <c r="L27" s="8">
        <f t="shared" si="8"/>
        <v>0</v>
      </c>
      <c r="M27" s="8">
        <f t="shared" si="9"/>
        <v>0</v>
      </c>
      <c r="N27" s="8">
        <f t="shared" si="10"/>
        <v>28</v>
      </c>
      <c r="O27" s="9">
        <f t="shared" si="11"/>
        <v>6.3095734448019358E-2</v>
      </c>
      <c r="P27" s="9">
        <f t="shared" si="1"/>
        <v>40.736564999999999</v>
      </c>
      <c r="Q27" s="9">
        <f t="shared" si="2"/>
        <v>-2.9100000000000003E-4</v>
      </c>
      <c r="R27" s="9">
        <f t="shared" si="3"/>
        <v>0.14109099999999999</v>
      </c>
      <c r="S27" s="9">
        <f t="shared" si="4"/>
        <v>22.736564999999999</v>
      </c>
      <c r="T27" s="9">
        <f t="shared" si="5"/>
        <v>298.31853099497812</v>
      </c>
      <c r="U27" s="9">
        <f t="shared" si="6"/>
        <v>11.848312494299508</v>
      </c>
    </row>
    <row r="28" spans="1:21" x14ac:dyDescent="0.25">
      <c r="A28" s="7">
        <v>18</v>
      </c>
      <c r="B28" s="7">
        <v>2200000000</v>
      </c>
      <c r="C28" s="7">
        <v>40.161003999999998</v>
      </c>
      <c r="D28" s="7">
        <v>2.5000000000000001E-5</v>
      </c>
      <c r="E28" s="7">
        <v>0.13647599999999999</v>
      </c>
      <c r="F28">
        <v>22.161003999999998</v>
      </c>
      <c r="G28">
        <v>26.992149000000001</v>
      </c>
      <c r="H28">
        <v>10.377682</v>
      </c>
      <c r="J28" s="8">
        <v>0</v>
      </c>
      <c r="K28" s="8">
        <f t="shared" si="7"/>
        <v>1</v>
      </c>
      <c r="L28" s="8">
        <f t="shared" si="8"/>
        <v>0</v>
      </c>
      <c r="M28" s="8">
        <f t="shared" si="9"/>
        <v>0</v>
      </c>
      <c r="N28" s="8">
        <f t="shared" si="10"/>
        <v>28</v>
      </c>
      <c r="O28" s="9">
        <f t="shared" si="11"/>
        <v>6.3095734448019358E-2</v>
      </c>
      <c r="P28" s="9">
        <f t="shared" si="1"/>
        <v>40.161003999999998</v>
      </c>
      <c r="Q28" s="9">
        <f t="shared" si="2"/>
        <v>2.5000000000000001E-5</v>
      </c>
      <c r="R28" s="9">
        <f t="shared" si="3"/>
        <v>0.13647599999999999</v>
      </c>
      <c r="S28" s="9">
        <f t="shared" si="4"/>
        <v>22.161003999999998</v>
      </c>
      <c r="T28" s="9">
        <f t="shared" si="5"/>
        <v>269.92153655628107</v>
      </c>
      <c r="U28" s="9">
        <f t="shared" si="6"/>
        <v>10.377682988903423</v>
      </c>
    </row>
    <row r="29" spans="1:21" x14ac:dyDescent="0.25">
      <c r="A29" s="7">
        <v>19</v>
      </c>
      <c r="B29" s="7">
        <v>2300000000</v>
      </c>
      <c r="C29" s="7">
        <v>39.842827</v>
      </c>
      <c r="D29" s="7">
        <v>-7.6000000000000004E-5</v>
      </c>
      <c r="E29" s="7">
        <v>0.13309299999999999</v>
      </c>
      <c r="F29">
        <v>21.842827</v>
      </c>
      <c r="G29">
        <v>25.711003000000002</v>
      </c>
      <c r="H29">
        <v>9.6445659999999993</v>
      </c>
      <c r="J29" s="8">
        <v>0</v>
      </c>
      <c r="K29" s="8">
        <f t="shared" si="7"/>
        <v>1</v>
      </c>
      <c r="L29" s="8">
        <f t="shared" si="8"/>
        <v>0</v>
      </c>
      <c r="M29" s="8">
        <f t="shared" si="9"/>
        <v>0</v>
      </c>
      <c r="N29" s="8">
        <f t="shared" si="10"/>
        <v>28</v>
      </c>
      <c r="O29" s="9">
        <f t="shared" si="11"/>
        <v>6.3095734448019358E-2</v>
      </c>
      <c r="P29" s="9">
        <f t="shared" si="1"/>
        <v>39.842827</v>
      </c>
      <c r="Q29" s="9">
        <f t="shared" si="2"/>
        <v>-7.6000000000000004E-5</v>
      </c>
      <c r="R29" s="9">
        <f t="shared" si="3"/>
        <v>0.13309299999999999</v>
      </c>
      <c r="S29" s="9">
        <f t="shared" si="4"/>
        <v>21.842827</v>
      </c>
      <c r="T29" s="9">
        <f t="shared" si="5"/>
        <v>257.10997199151768</v>
      </c>
      <c r="U29" s="9">
        <f t="shared" si="6"/>
        <v>9.644566235082797</v>
      </c>
    </row>
    <row r="30" spans="1:21" x14ac:dyDescent="0.25">
      <c r="A30" s="7">
        <v>20</v>
      </c>
      <c r="B30" s="7">
        <v>2400000000</v>
      </c>
      <c r="C30" s="7">
        <v>39.314205999999999</v>
      </c>
      <c r="D30" s="7">
        <v>2.8499999999999999E-4</v>
      </c>
      <c r="E30" s="7">
        <v>0.13000800000000001</v>
      </c>
      <c r="F30">
        <v>21.314205999999999</v>
      </c>
      <c r="G30">
        <v>23.284738999999998</v>
      </c>
      <c r="H30">
        <v>8.5392659999999996</v>
      </c>
      <c r="J30" s="8">
        <v>0</v>
      </c>
      <c r="K30" s="8">
        <f t="shared" si="7"/>
        <v>1</v>
      </c>
      <c r="L30" s="8">
        <f t="shared" si="8"/>
        <v>0</v>
      </c>
      <c r="M30" s="8">
        <f t="shared" si="9"/>
        <v>0</v>
      </c>
      <c r="N30" s="8">
        <f t="shared" si="10"/>
        <v>28</v>
      </c>
      <c r="O30" s="9">
        <f t="shared" si="11"/>
        <v>6.3095734448019358E-2</v>
      </c>
      <c r="P30" s="9">
        <f t="shared" si="1"/>
        <v>39.314205999999999</v>
      </c>
      <c r="Q30" s="9">
        <f t="shared" si="2"/>
        <v>2.8499999999999999E-4</v>
      </c>
      <c r="R30" s="9">
        <f t="shared" si="3"/>
        <v>0.13000800000000001</v>
      </c>
      <c r="S30" s="9">
        <f t="shared" si="4"/>
        <v>21.314205999999999</v>
      </c>
      <c r="T30" s="9">
        <f t="shared" si="5"/>
        <v>232.84752266102663</v>
      </c>
      <c r="U30" s="9">
        <f t="shared" si="6"/>
        <v>8.5392671377601506</v>
      </c>
    </row>
    <row r="31" spans="1:21" x14ac:dyDescent="0.25">
      <c r="A31" s="7">
        <v>21</v>
      </c>
      <c r="B31" s="7">
        <v>2500000000</v>
      </c>
      <c r="C31" s="7">
        <v>39.411911000000003</v>
      </c>
      <c r="D31" s="7">
        <v>-1.95E-4</v>
      </c>
      <c r="E31" s="7">
        <v>0.13078000000000001</v>
      </c>
      <c r="F31">
        <v>21.411911</v>
      </c>
      <c r="G31">
        <v>23.677869999999999</v>
      </c>
      <c r="H31">
        <v>8.7335550000000008</v>
      </c>
      <c r="J31" s="8">
        <v>0</v>
      </c>
      <c r="K31" s="8">
        <f t="shared" si="7"/>
        <v>1</v>
      </c>
      <c r="L31" s="8">
        <f t="shared" si="8"/>
        <v>0</v>
      </c>
      <c r="M31" s="8">
        <f t="shared" si="9"/>
        <v>0</v>
      </c>
      <c r="N31" s="8">
        <f t="shared" si="10"/>
        <v>28</v>
      </c>
      <c r="O31" s="9">
        <f t="shared" si="11"/>
        <v>6.3095734448019358E-2</v>
      </c>
      <c r="P31" s="9">
        <f t="shared" si="1"/>
        <v>39.411911000000003</v>
      </c>
      <c r="Q31" s="9">
        <f t="shared" si="2"/>
        <v>-1.95E-4</v>
      </c>
      <c r="R31" s="9">
        <f t="shared" si="3"/>
        <v>0.13078000000000001</v>
      </c>
      <c r="S31" s="9">
        <f t="shared" si="4"/>
        <v>21.411911</v>
      </c>
      <c r="T31" s="9">
        <f t="shared" si="5"/>
        <v>236.77878002091921</v>
      </c>
      <c r="U31" s="9">
        <f t="shared" si="6"/>
        <v>8.7335558127660473</v>
      </c>
    </row>
    <row r="32" spans="1:21" x14ac:dyDescent="0.25">
      <c r="A32" s="7">
        <v>22</v>
      </c>
      <c r="B32" s="7">
        <v>2600000000</v>
      </c>
      <c r="C32" s="7">
        <v>39.750725000000003</v>
      </c>
      <c r="D32" s="7">
        <v>-3.5500000000000001E-4</v>
      </c>
      <c r="E32" s="7">
        <v>0.132299</v>
      </c>
      <c r="F32">
        <v>21.750724999999999</v>
      </c>
      <c r="G32">
        <v>25.318888000000001</v>
      </c>
      <c r="H32">
        <v>9.4421850000000003</v>
      </c>
      <c r="J32" s="8">
        <v>0</v>
      </c>
      <c r="K32" s="8">
        <f t="shared" si="7"/>
        <v>1</v>
      </c>
      <c r="L32" s="8">
        <f t="shared" si="8"/>
        <v>0</v>
      </c>
      <c r="M32" s="8">
        <f t="shared" si="9"/>
        <v>0</v>
      </c>
      <c r="N32" s="8">
        <f t="shared" si="10"/>
        <v>28</v>
      </c>
      <c r="O32" s="9">
        <f t="shared" si="11"/>
        <v>6.3095734448019358E-2</v>
      </c>
      <c r="P32" s="9">
        <f t="shared" si="1"/>
        <v>39.750725000000003</v>
      </c>
      <c r="Q32" s="9">
        <f t="shared" si="2"/>
        <v>-3.5500000000000001E-4</v>
      </c>
      <c r="R32" s="9">
        <f t="shared" si="3"/>
        <v>0.132299</v>
      </c>
      <c r="S32" s="9">
        <f t="shared" si="4"/>
        <v>21.750724999999999</v>
      </c>
      <c r="T32" s="9">
        <f t="shared" si="5"/>
        <v>253.1897215189895</v>
      </c>
      <c r="U32" s="9">
        <f t="shared" si="6"/>
        <v>9.4421848852754415</v>
      </c>
    </row>
    <row r="33" spans="1:21" x14ac:dyDescent="0.25">
      <c r="A33" s="7">
        <v>23</v>
      </c>
      <c r="B33" s="7">
        <v>2700000000</v>
      </c>
      <c r="C33" s="7">
        <v>39.674391</v>
      </c>
      <c r="D33" s="7">
        <v>6.9999999999999994E-5</v>
      </c>
      <c r="E33" s="7">
        <v>0.13172800000000001</v>
      </c>
      <c r="F33">
        <v>21.674391</v>
      </c>
      <c r="G33">
        <v>24.982727000000001</v>
      </c>
      <c r="H33">
        <v>9.2776730000000001</v>
      </c>
      <c r="J33" s="8">
        <v>0</v>
      </c>
      <c r="K33" s="8">
        <f t="shared" si="7"/>
        <v>1</v>
      </c>
      <c r="L33" s="8">
        <f t="shared" si="8"/>
        <v>0</v>
      </c>
      <c r="M33" s="8">
        <f t="shared" si="9"/>
        <v>0</v>
      </c>
      <c r="N33" s="8">
        <f t="shared" si="10"/>
        <v>28</v>
      </c>
      <c r="O33" s="9">
        <f t="shared" si="11"/>
        <v>6.3095734448019358E-2</v>
      </c>
      <c r="P33" s="9">
        <f t="shared" si="1"/>
        <v>39.674391</v>
      </c>
      <c r="Q33" s="9">
        <f t="shared" si="2"/>
        <v>6.9999999999999994E-5</v>
      </c>
      <c r="R33" s="9">
        <f t="shared" si="3"/>
        <v>0.13172800000000001</v>
      </c>
      <c r="S33" s="9">
        <f t="shared" si="4"/>
        <v>21.674391</v>
      </c>
      <c r="T33" s="9">
        <f t="shared" si="5"/>
        <v>249.82697276712949</v>
      </c>
      <c r="U33" s="9">
        <f t="shared" si="6"/>
        <v>9.2776738256751816</v>
      </c>
    </row>
    <row r="34" spans="1:21" x14ac:dyDescent="0.25">
      <c r="A34" s="7">
        <v>24</v>
      </c>
      <c r="B34" s="7">
        <v>2800000000</v>
      </c>
      <c r="C34" s="7">
        <v>39.623980000000003</v>
      </c>
      <c r="D34" s="7">
        <v>-6.7699999999999998E-4</v>
      </c>
      <c r="E34" s="7">
        <v>0.132997</v>
      </c>
      <c r="F34">
        <v>21.62398</v>
      </c>
      <c r="G34">
        <v>24.456883000000001</v>
      </c>
      <c r="H34">
        <v>9.1706059999999994</v>
      </c>
      <c r="J34" s="8">
        <v>0</v>
      </c>
      <c r="K34" s="8">
        <f t="shared" si="7"/>
        <v>1</v>
      </c>
      <c r="L34" s="8">
        <f t="shared" si="8"/>
        <v>0</v>
      </c>
      <c r="M34" s="8">
        <f t="shared" si="9"/>
        <v>0</v>
      </c>
      <c r="N34" s="8">
        <f t="shared" si="10"/>
        <v>28</v>
      </c>
      <c r="O34" s="9">
        <f t="shared" si="11"/>
        <v>6.3095734448019358E-2</v>
      </c>
      <c r="P34" s="9">
        <f t="shared" si="1"/>
        <v>39.623980000000003</v>
      </c>
      <c r="Q34" s="9">
        <f t="shared" si="2"/>
        <v>-6.7699999999999998E-4</v>
      </c>
      <c r="R34" s="9">
        <f t="shared" si="3"/>
        <v>0.132997</v>
      </c>
      <c r="S34" s="9">
        <f t="shared" si="4"/>
        <v>21.62398</v>
      </c>
      <c r="T34" s="9">
        <f t="shared" si="5"/>
        <v>244.56807093409608</v>
      </c>
      <c r="U34" s="9">
        <f t="shared" si="6"/>
        <v>9.1706052588541738</v>
      </c>
    </row>
    <row r="35" spans="1:21" x14ac:dyDescent="0.25">
      <c r="A35" s="7">
        <v>25</v>
      </c>
      <c r="B35" s="7">
        <v>2900000000</v>
      </c>
      <c r="C35" s="7">
        <v>39.878219000000001</v>
      </c>
      <c r="D35" s="7">
        <v>-1.8100000000000001E-4</v>
      </c>
      <c r="E35" s="7">
        <v>0.135577</v>
      </c>
      <c r="F35">
        <v>21.878219000000001</v>
      </c>
      <c r="G35">
        <v>25.447794999999999</v>
      </c>
      <c r="H35">
        <v>9.7234850000000002</v>
      </c>
      <c r="J35" s="8">
        <v>0</v>
      </c>
      <c r="K35" s="8">
        <f t="shared" si="7"/>
        <v>1</v>
      </c>
      <c r="L35" s="8">
        <f t="shared" si="8"/>
        <v>0</v>
      </c>
      <c r="M35" s="8">
        <f t="shared" si="9"/>
        <v>0</v>
      </c>
      <c r="N35" s="8">
        <f t="shared" si="10"/>
        <v>28</v>
      </c>
      <c r="O35" s="9">
        <f t="shared" si="11"/>
        <v>6.3095734448019358E-2</v>
      </c>
      <c r="P35" s="9">
        <f t="shared" si="1"/>
        <v>39.878219000000001</v>
      </c>
      <c r="Q35" s="9">
        <f t="shared" si="2"/>
        <v>-1.8100000000000001E-4</v>
      </c>
      <c r="R35" s="9">
        <f t="shared" si="3"/>
        <v>0.135577</v>
      </c>
      <c r="S35" s="9">
        <f t="shared" si="4"/>
        <v>21.878219000000001</v>
      </c>
      <c r="T35" s="9">
        <f t="shared" si="5"/>
        <v>254.47816628542853</v>
      </c>
      <c r="U35" s="9">
        <f t="shared" si="6"/>
        <v>9.7234839125822905</v>
      </c>
    </row>
    <row r="36" spans="1:21" x14ac:dyDescent="0.25">
      <c r="A36" s="7">
        <v>26</v>
      </c>
      <c r="B36" s="7">
        <v>3000000000</v>
      </c>
      <c r="C36" s="7">
        <v>39.913406000000002</v>
      </c>
      <c r="D36" s="7">
        <v>-3.4699999999999998E-4</v>
      </c>
      <c r="E36" s="7">
        <v>0.136461</v>
      </c>
      <c r="F36">
        <v>21.913405999999998</v>
      </c>
      <c r="G36">
        <v>25.489902000000001</v>
      </c>
      <c r="H36">
        <v>9.8025839999999995</v>
      </c>
      <c r="J36" s="8">
        <v>0</v>
      </c>
      <c r="K36" s="8">
        <f t="shared" si="7"/>
        <v>1</v>
      </c>
      <c r="L36" s="8">
        <f t="shared" si="8"/>
        <v>0</v>
      </c>
      <c r="M36" s="8">
        <f t="shared" si="9"/>
        <v>0</v>
      </c>
      <c r="N36" s="8">
        <f t="shared" si="10"/>
        <v>28</v>
      </c>
      <c r="O36" s="9">
        <f t="shared" si="11"/>
        <v>6.3095734448019358E-2</v>
      </c>
      <c r="P36" s="9">
        <f t="shared" si="1"/>
        <v>39.913406000000002</v>
      </c>
      <c r="Q36" s="9">
        <f t="shared" si="2"/>
        <v>-3.4699999999999998E-4</v>
      </c>
      <c r="R36" s="9">
        <f t="shared" si="3"/>
        <v>0.136461</v>
      </c>
      <c r="S36" s="9">
        <f t="shared" si="4"/>
        <v>21.913405999999998</v>
      </c>
      <c r="T36" s="9">
        <f t="shared" si="5"/>
        <v>254.899853269472</v>
      </c>
      <c r="U36" s="9">
        <f t="shared" si="6"/>
        <v>9.8025846200095366</v>
      </c>
    </row>
    <row r="37" spans="1:21" x14ac:dyDescent="0.25">
      <c r="A37" s="7">
        <v>27</v>
      </c>
      <c r="B37" s="7">
        <v>3100000000</v>
      </c>
      <c r="C37" s="7">
        <v>40.076006999999997</v>
      </c>
      <c r="D37" s="7">
        <v>-8.2999999999999998E-5</v>
      </c>
      <c r="E37" s="7">
        <v>0.140094</v>
      </c>
      <c r="F37">
        <v>22.076007000000001</v>
      </c>
      <c r="G37">
        <v>25.782409000000001</v>
      </c>
      <c r="H37">
        <v>10.176553</v>
      </c>
      <c r="J37" s="8">
        <v>0</v>
      </c>
      <c r="K37" s="8">
        <f t="shared" si="7"/>
        <v>1</v>
      </c>
      <c r="L37" s="8">
        <f t="shared" si="8"/>
        <v>0</v>
      </c>
      <c r="M37" s="8">
        <f t="shared" si="9"/>
        <v>0</v>
      </c>
      <c r="N37" s="8">
        <f t="shared" si="10"/>
        <v>28</v>
      </c>
      <c r="O37" s="9">
        <f t="shared" si="11"/>
        <v>6.3095734448019358E-2</v>
      </c>
      <c r="P37" s="9">
        <f t="shared" si="1"/>
        <v>40.076006999999997</v>
      </c>
      <c r="Q37" s="9">
        <f t="shared" si="2"/>
        <v>-8.2999999999999998E-5</v>
      </c>
      <c r="R37" s="9">
        <f t="shared" si="3"/>
        <v>0.140094</v>
      </c>
      <c r="S37" s="9">
        <f t="shared" si="4"/>
        <v>22.076007000000001</v>
      </c>
      <c r="T37" s="9">
        <f t="shared" si="5"/>
        <v>257.82324965506842</v>
      </c>
      <c r="U37" s="9">
        <f t="shared" si="6"/>
        <v>10.176553028857624</v>
      </c>
    </row>
    <row r="38" spans="1:21" x14ac:dyDescent="0.25">
      <c r="A38" s="7">
        <v>28</v>
      </c>
      <c r="B38" s="7">
        <v>3200000000</v>
      </c>
      <c r="C38" s="7">
        <v>40.025593999999998</v>
      </c>
      <c r="D38" s="7">
        <v>-2.9100000000000003E-4</v>
      </c>
      <c r="E38" s="7">
        <v>0.14510700000000001</v>
      </c>
      <c r="F38">
        <v>22.025594000000002</v>
      </c>
      <c r="G38">
        <v>24.602632</v>
      </c>
      <c r="H38">
        <v>10.059106999999999</v>
      </c>
      <c r="J38" s="8">
        <v>0</v>
      </c>
      <c r="K38" s="8">
        <f t="shared" si="7"/>
        <v>1</v>
      </c>
      <c r="L38" s="8">
        <f t="shared" si="8"/>
        <v>0</v>
      </c>
      <c r="M38" s="8">
        <f t="shared" si="9"/>
        <v>0</v>
      </c>
      <c r="N38" s="8">
        <f t="shared" si="10"/>
        <v>28</v>
      </c>
      <c r="O38" s="9">
        <f t="shared" si="11"/>
        <v>6.3095734448019358E-2</v>
      </c>
      <c r="P38" s="9">
        <f t="shared" si="1"/>
        <v>40.025593999999998</v>
      </c>
      <c r="Q38" s="9">
        <f t="shared" si="2"/>
        <v>-2.9100000000000003E-4</v>
      </c>
      <c r="R38" s="9">
        <f t="shared" si="3"/>
        <v>0.14510700000000001</v>
      </c>
      <c r="S38" s="9">
        <f t="shared" si="4"/>
        <v>22.025594000000002</v>
      </c>
      <c r="T38" s="9">
        <f t="shared" si="5"/>
        <v>246.02560822647555</v>
      </c>
      <c r="U38" s="9">
        <f t="shared" si="6"/>
        <v>10.059106355665392</v>
      </c>
    </row>
    <row r="39" spans="1:21" x14ac:dyDescent="0.25">
      <c r="A39" s="7">
        <v>29</v>
      </c>
      <c r="B39" s="7">
        <v>3300000000</v>
      </c>
      <c r="C39" s="7">
        <v>39.767721999999999</v>
      </c>
      <c r="D39" s="7">
        <v>-2.42E-4</v>
      </c>
      <c r="E39" s="7">
        <v>0.144987</v>
      </c>
      <c r="F39">
        <v>21.767721999999999</v>
      </c>
      <c r="G39">
        <v>23.194548000000001</v>
      </c>
      <c r="H39">
        <v>9.4792100000000001</v>
      </c>
      <c r="J39" s="8">
        <v>0</v>
      </c>
      <c r="K39" s="8">
        <f t="shared" si="7"/>
        <v>1</v>
      </c>
      <c r="L39" s="8">
        <f t="shared" si="8"/>
        <v>0</v>
      </c>
      <c r="M39" s="8">
        <f t="shared" si="9"/>
        <v>0</v>
      </c>
      <c r="N39" s="8">
        <f t="shared" si="10"/>
        <v>28</v>
      </c>
      <c r="O39" s="9">
        <f t="shared" si="11"/>
        <v>6.3095734448019358E-2</v>
      </c>
      <c r="P39" s="9">
        <f t="shared" si="1"/>
        <v>39.767721999999999</v>
      </c>
      <c r="Q39" s="9">
        <f t="shared" si="2"/>
        <v>-2.42E-4</v>
      </c>
      <c r="R39" s="9">
        <f t="shared" si="3"/>
        <v>0.144987</v>
      </c>
      <c r="S39" s="9">
        <f t="shared" si="4"/>
        <v>21.767721999999999</v>
      </c>
      <c r="T39" s="9">
        <f t="shared" si="5"/>
        <v>231.94482151218492</v>
      </c>
      <c r="U39" s="9">
        <f t="shared" si="6"/>
        <v>9.4792112086924227</v>
      </c>
    </row>
    <row r="40" spans="1:21" x14ac:dyDescent="0.25">
      <c r="A40" s="7">
        <v>30</v>
      </c>
      <c r="B40" s="7">
        <v>3400000000</v>
      </c>
      <c r="C40" s="7">
        <v>40.115341000000001</v>
      </c>
      <c r="D40" s="7">
        <v>-2.9E-4</v>
      </c>
      <c r="E40" s="7">
        <v>0.146148</v>
      </c>
      <c r="F40">
        <v>22.115341000000001</v>
      </c>
      <c r="G40">
        <v>24.940522999999999</v>
      </c>
      <c r="H40">
        <v>10.269140999999999</v>
      </c>
      <c r="J40" s="8">
        <v>0</v>
      </c>
      <c r="K40" s="8">
        <f t="shared" si="7"/>
        <v>1</v>
      </c>
      <c r="L40" s="8">
        <f t="shared" si="8"/>
        <v>0</v>
      </c>
      <c r="M40" s="8">
        <f t="shared" si="9"/>
        <v>0</v>
      </c>
      <c r="N40" s="8">
        <f t="shared" si="10"/>
        <v>28</v>
      </c>
      <c r="O40" s="9">
        <f t="shared" si="11"/>
        <v>6.3095734448019358E-2</v>
      </c>
      <c r="P40" s="9">
        <f t="shared" si="1"/>
        <v>40.115341000000001</v>
      </c>
      <c r="Q40" s="9">
        <f t="shared" si="2"/>
        <v>-2.9E-4</v>
      </c>
      <c r="R40" s="9">
        <f t="shared" si="3"/>
        <v>0.146148</v>
      </c>
      <c r="S40" s="9">
        <f t="shared" si="4"/>
        <v>22.115341000000001</v>
      </c>
      <c r="T40" s="9">
        <f t="shared" si="5"/>
        <v>249.40580938788162</v>
      </c>
      <c r="U40" s="9">
        <f t="shared" si="6"/>
        <v>10.269140598965654</v>
      </c>
    </row>
    <row r="41" spans="1:21" x14ac:dyDescent="0.25">
      <c r="A41" s="7">
        <v>31</v>
      </c>
      <c r="B41" s="7">
        <v>3500000000</v>
      </c>
      <c r="C41" s="7">
        <v>40.248235000000001</v>
      </c>
      <c r="D41" s="7">
        <v>-3.2499999999999999E-4</v>
      </c>
      <c r="E41" s="7">
        <v>0.14887700000000001</v>
      </c>
      <c r="F41">
        <v>22.248235000000001</v>
      </c>
      <c r="G41">
        <v>25.248895999999998</v>
      </c>
      <c r="H41">
        <v>10.588233000000001</v>
      </c>
      <c r="J41" s="8">
        <v>0</v>
      </c>
      <c r="K41" s="8">
        <f t="shared" si="7"/>
        <v>1</v>
      </c>
      <c r="L41" s="8">
        <f t="shared" si="8"/>
        <v>0</v>
      </c>
      <c r="M41" s="8">
        <f t="shared" si="9"/>
        <v>0</v>
      </c>
      <c r="N41" s="8">
        <f t="shared" si="10"/>
        <v>28</v>
      </c>
      <c r="O41" s="9">
        <f t="shared" si="11"/>
        <v>6.3095734448019358E-2</v>
      </c>
      <c r="P41" s="9">
        <f t="shared" si="1"/>
        <v>40.248235000000001</v>
      </c>
      <c r="Q41" s="9">
        <f t="shared" si="2"/>
        <v>-3.2499999999999999E-4</v>
      </c>
      <c r="R41" s="9">
        <f t="shared" si="3"/>
        <v>0.14887700000000001</v>
      </c>
      <c r="S41" s="9">
        <f t="shared" si="4"/>
        <v>22.248235000000001</v>
      </c>
      <c r="T41" s="9">
        <f t="shared" si="5"/>
        <v>252.48881191538172</v>
      </c>
      <c r="U41" s="9">
        <f t="shared" si="6"/>
        <v>10.588233252875382</v>
      </c>
    </row>
    <row r="42" spans="1:21" x14ac:dyDescent="0.25">
      <c r="A42" s="7">
        <v>32</v>
      </c>
      <c r="B42" s="7">
        <v>3600000000</v>
      </c>
      <c r="C42" s="7">
        <v>40.295223</v>
      </c>
      <c r="D42" s="7">
        <v>-1.74E-4</v>
      </c>
      <c r="E42" s="7">
        <v>0.151449</v>
      </c>
      <c r="F42">
        <v>22.295223</v>
      </c>
      <c r="G42">
        <v>25.091757000000001</v>
      </c>
      <c r="H42">
        <v>10.703412999999999</v>
      </c>
      <c r="J42" s="8">
        <v>0</v>
      </c>
      <c r="K42" s="8">
        <f t="shared" si="7"/>
        <v>1</v>
      </c>
      <c r="L42" s="8">
        <f t="shared" si="8"/>
        <v>0</v>
      </c>
      <c r="M42" s="8">
        <f t="shared" si="9"/>
        <v>0</v>
      </c>
      <c r="N42" s="8">
        <f t="shared" si="10"/>
        <v>28</v>
      </c>
      <c r="O42" s="9">
        <f t="shared" si="11"/>
        <v>6.3095734448019358E-2</v>
      </c>
      <c r="P42" s="9">
        <f t="shared" si="1"/>
        <v>40.295223</v>
      </c>
      <c r="Q42" s="9">
        <f t="shared" si="2"/>
        <v>-1.74E-4</v>
      </c>
      <c r="R42" s="9">
        <f t="shared" si="3"/>
        <v>0.151449</v>
      </c>
      <c r="S42" s="9">
        <f t="shared" si="4"/>
        <v>22.295223</v>
      </c>
      <c r="T42" s="9">
        <f t="shared" si="5"/>
        <v>250.91703844800853</v>
      </c>
      <c r="U42" s="9">
        <f t="shared" si="6"/>
        <v>10.703413410103504</v>
      </c>
    </row>
    <row r="43" spans="1:21" x14ac:dyDescent="0.25">
      <c r="A43" s="7">
        <v>33</v>
      </c>
      <c r="B43" s="7">
        <v>3700000000</v>
      </c>
      <c r="C43" s="7">
        <v>40.418697999999999</v>
      </c>
      <c r="D43" s="7">
        <v>-6.3999999999999997E-5</v>
      </c>
      <c r="E43" s="7">
        <v>0.153032</v>
      </c>
      <c r="F43">
        <v>22.418697999999999</v>
      </c>
      <c r="G43">
        <v>25.552564</v>
      </c>
      <c r="H43">
        <v>11.012091</v>
      </c>
      <c r="J43" s="8">
        <v>0</v>
      </c>
      <c r="K43" s="8">
        <f t="shared" si="7"/>
        <v>1</v>
      </c>
      <c r="L43" s="8">
        <f t="shared" si="8"/>
        <v>0</v>
      </c>
      <c r="M43" s="8">
        <f t="shared" si="9"/>
        <v>0</v>
      </c>
      <c r="N43" s="8">
        <f t="shared" si="10"/>
        <v>28</v>
      </c>
      <c r="O43" s="9">
        <f t="shared" si="11"/>
        <v>6.3095734448019358E-2</v>
      </c>
      <c r="P43" s="9">
        <f t="shared" ref="P43:P74" si="12">C43+J43</f>
        <v>40.418697999999999</v>
      </c>
      <c r="Q43" s="9">
        <f t="shared" ref="Q43:Q74" si="13">D43-L43</f>
        <v>-6.3999999999999997E-5</v>
      </c>
      <c r="R43" s="9">
        <f t="shared" ref="R43:R74" si="14">(E43-M43)*K43</f>
        <v>0.153032</v>
      </c>
      <c r="S43" s="9">
        <f t="shared" ref="S43:S74" si="15">F43+J43</f>
        <v>22.418697999999999</v>
      </c>
      <c r="T43" s="9">
        <f t="shared" ref="T43:T74" si="16">((U43-O43)/(N43*R43))*100</f>
        <v>255.52534947802269</v>
      </c>
      <c r="U43" s="9">
        <f t="shared" ref="U43:U74" si="17">(10^(P43/10))/1000</f>
        <v>11.012091213217834</v>
      </c>
    </row>
    <row r="44" spans="1:21" x14ac:dyDescent="0.25">
      <c r="A44" s="7">
        <v>34</v>
      </c>
      <c r="B44" s="7">
        <v>3800000000</v>
      </c>
      <c r="C44" s="7">
        <v>40.561067000000001</v>
      </c>
      <c r="D44" s="7">
        <v>-5.2300000000000003E-4</v>
      </c>
      <c r="E44" s="7">
        <v>0.15787000000000001</v>
      </c>
      <c r="F44">
        <v>22.561067000000001</v>
      </c>
      <c r="G44">
        <v>25.599589999999999</v>
      </c>
      <c r="H44">
        <v>11.379068999999999</v>
      </c>
      <c r="J44" s="8">
        <v>0</v>
      </c>
      <c r="K44" s="8">
        <f t="shared" ref="K44:K75" si="18">K43</f>
        <v>1</v>
      </c>
      <c r="L44" s="8">
        <f t="shared" ref="L44:L75" si="19">L43</f>
        <v>0</v>
      </c>
      <c r="M44" s="8">
        <f t="shared" ref="M44:M75" si="20">M43</f>
        <v>0</v>
      </c>
      <c r="N44" s="8">
        <f t="shared" ref="N44:N75" si="21">N43</f>
        <v>28</v>
      </c>
      <c r="O44" s="9">
        <f t="shared" ref="O44:O75" si="22">O43</f>
        <v>6.3095734448019358E-2</v>
      </c>
      <c r="P44" s="9">
        <f t="shared" si="12"/>
        <v>40.561067000000001</v>
      </c>
      <c r="Q44" s="9">
        <f t="shared" si="13"/>
        <v>-5.2300000000000003E-4</v>
      </c>
      <c r="R44" s="9">
        <f t="shared" si="14"/>
        <v>0.15787000000000001</v>
      </c>
      <c r="S44" s="9">
        <f t="shared" si="15"/>
        <v>22.561067000000001</v>
      </c>
      <c r="T44" s="9">
        <f t="shared" si="16"/>
        <v>255.99662598050696</v>
      </c>
      <c r="U44" s="9">
        <f t="shared" si="17"/>
        <v>11.379068190639959</v>
      </c>
    </row>
    <row r="45" spans="1:21" x14ac:dyDescent="0.25">
      <c r="A45" s="7">
        <v>35</v>
      </c>
      <c r="B45" s="7">
        <v>3900000000</v>
      </c>
      <c r="C45" s="7">
        <v>40.868760999999999</v>
      </c>
      <c r="D45" s="7">
        <v>-4.0299999999999998E-4</v>
      </c>
      <c r="E45" s="7">
        <v>0.16684299999999999</v>
      </c>
      <c r="F45">
        <v>22.868760999999999</v>
      </c>
      <c r="G45">
        <v>26.011303999999999</v>
      </c>
      <c r="H45">
        <v>12.214511</v>
      </c>
      <c r="J45" s="8">
        <v>0</v>
      </c>
      <c r="K45" s="8">
        <f t="shared" si="18"/>
        <v>1</v>
      </c>
      <c r="L45" s="8">
        <f t="shared" si="19"/>
        <v>0</v>
      </c>
      <c r="M45" s="8">
        <f t="shared" si="20"/>
        <v>0</v>
      </c>
      <c r="N45" s="8">
        <f t="shared" si="21"/>
        <v>28</v>
      </c>
      <c r="O45" s="9">
        <f t="shared" si="22"/>
        <v>6.3095734448019358E-2</v>
      </c>
      <c r="P45" s="9">
        <f t="shared" si="12"/>
        <v>40.868760999999999</v>
      </c>
      <c r="Q45" s="9">
        <f t="shared" si="13"/>
        <v>-4.0299999999999998E-4</v>
      </c>
      <c r="R45" s="9">
        <f t="shared" si="14"/>
        <v>0.16684299999999999</v>
      </c>
      <c r="S45" s="9">
        <f t="shared" si="15"/>
        <v>22.868760999999999</v>
      </c>
      <c r="T45" s="9">
        <f t="shared" si="16"/>
        <v>260.1122802475881</v>
      </c>
      <c r="U45" s="9">
        <f t="shared" si="17"/>
        <v>12.214511422985554</v>
      </c>
    </row>
    <row r="46" spans="1:21" x14ac:dyDescent="0.25">
      <c r="A46" s="7">
        <v>36</v>
      </c>
      <c r="B46" s="7">
        <v>4000000000</v>
      </c>
      <c r="C46" s="7">
        <v>41.052912999999997</v>
      </c>
      <c r="D46" s="7">
        <v>-4.5600000000000003E-4</v>
      </c>
      <c r="E46" s="7">
        <v>0.17291300000000001</v>
      </c>
      <c r="F46">
        <v>23.052913</v>
      </c>
      <c r="G46">
        <v>26.190840000000001</v>
      </c>
      <c r="H46">
        <v>12.743575</v>
      </c>
      <c r="J46" s="8">
        <v>0</v>
      </c>
      <c r="K46" s="8">
        <f t="shared" si="18"/>
        <v>1</v>
      </c>
      <c r="L46" s="8">
        <f t="shared" si="19"/>
        <v>0</v>
      </c>
      <c r="M46" s="8">
        <f t="shared" si="20"/>
        <v>0</v>
      </c>
      <c r="N46" s="8">
        <f t="shared" si="21"/>
        <v>28</v>
      </c>
      <c r="O46" s="9">
        <f t="shared" si="22"/>
        <v>6.3095734448019358E-2</v>
      </c>
      <c r="P46" s="9">
        <f t="shared" si="12"/>
        <v>41.052912999999997</v>
      </c>
      <c r="Q46" s="9">
        <f t="shared" si="13"/>
        <v>-4.5600000000000003E-4</v>
      </c>
      <c r="R46" s="9">
        <f t="shared" si="14"/>
        <v>0.17291300000000001</v>
      </c>
      <c r="S46" s="9">
        <f t="shared" si="15"/>
        <v>23.052913</v>
      </c>
      <c r="T46" s="9">
        <f t="shared" si="16"/>
        <v>261.90875250910079</v>
      </c>
      <c r="U46" s="9">
        <f t="shared" si="17"/>
        <v>12.743575608777739</v>
      </c>
    </row>
    <row r="47" spans="1:21" x14ac:dyDescent="0.25">
      <c r="A47" s="7">
        <v>37</v>
      </c>
      <c r="B47" s="7">
        <v>4100000000</v>
      </c>
      <c r="C47" s="7">
        <v>41.142969999999998</v>
      </c>
      <c r="D47" s="7">
        <v>-3.5300000000000002E-4</v>
      </c>
      <c r="E47" s="7">
        <v>0.17927100000000001</v>
      </c>
      <c r="F47">
        <v>23.142969999999998</v>
      </c>
      <c r="G47">
        <v>25.793955</v>
      </c>
      <c r="H47">
        <v>13.010589</v>
      </c>
      <c r="J47" s="8">
        <v>0</v>
      </c>
      <c r="K47" s="8">
        <f t="shared" si="18"/>
        <v>1</v>
      </c>
      <c r="L47" s="8">
        <f t="shared" si="19"/>
        <v>0</v>
      </c>
      <c r="M47" s="8">
        <f t="shared" si="20"/>
        <v>0</v>
      </c>
      <c r="N47" s="8">
        <f t="shared" si="21"/>
        <v>28</v>
      </c>
      <c r="O47" s="9">
        <f t="shared" si="22"/>
        <v>6.3095734448019358E-2</v>
      </c>
      <c r="P47" s="9">
        <f t="shared" si="12"/>
        <v>41.142969999999998</v>
      </c>
      <c r="Q47" s="9">
        <f t="shared" si="13"/>
        <v>-3.5300000000000002E-4</v>
      </c>
      <c r="R47" s="9">
        <f t="shared" si="14"/>
        <v>0.17927100000000001</v>
      </c>
      <c r="S47" s="9">
        <f t="shared" si="15"/>
        <v>23.142969999999998</v>
      </c>
      <c r="T47" s="9">
        <f t="shared" si="16"/>
        <v>257.93938720860177</v>
      </c>
      <c r="U47" s="9">
        <f t="shared" si="17"/>
        <v>13.010590262044531</v>
      </c>
    </row>
    <row r="48" spans="1:21" x14ac:dyDescent="0.25">
      <c r="A48" s="7">
        <v>38</v>
      </c>
      <c r="B48" s="7">
        <v>4200000000</v>
      </c>
      <c r="C48" s="7">
        <v>40.932515000000002</v>
      </c>
      <c r="D48" s="7">
        <v>-4.2499999999999998E-4</v>
      </c>
      <c r="E48" s="7">
        <v>0.17553199999999999</v>
      </c>
      <c r="F48">
        <v>22.932514999999999</v>
      </c>
      <c r="G48">
        <v>25.091190000000001</v>
      </c>
      <c r="H48">
        <v>12.395142</v>
      </c>
      <c r="J48" s="8">
        <v>0</v>
      </c>
      <c r="K48" s="8">
        <f t="shared" si="18"/>
        <v>1</v>
      </c>
      <c r="L48" s="8">
        <f t="shared" si="19"/>
        <v>0</v>
      </c>
      <c r="M48" s="8">
        <f t="shared" si="20"/>
        <v>0</v>
      </c>
      <c r="N48" s="8">
        <f t="shared" si="21"/>
        <v>28</v>
      </c>
      <c r="O48" s="9">
        <f t="shared" si="22"/>
        <v>6.3095734448019358E-2</v>
      </c>
      <c r="P48" s="9">
        <f t="shared" si="12"/>
        <v>40.932515000000002</v>
      </c>
      <c r="Q48" s="9">
        <f t="shared" si="13"/>
        <v>-4.2499999999999998E-4</v>
      </c>
      <c r="R48" s="9">
        <f t="shared" si="14"/>
        <v>0.17553199999999999</v>
      </c>
      <c r="S48" s="9">
        <f t="shared" si="15"/>
        <v>22.932514999999999</v>
      </c>
      <c r="T48" s="9">
        <f t="shared" si="16"/>
        <v>250.91163844268408</v>
      </c>
      <c r="U48" s="9">
        <f t="shared" si="17"/>
        <v>12.39514181580196</v>
      </c>
    </row>
    <row r="49" spans="1:21" x14ac:dyDescent="0.25">
      <c r="A49" s="7">
        <v>39</v>
      </c>
      <c r="B49" s="7">
        <v>4300000000</v>
      </c>
      <c r="C49" s="7">
        <v>40.857652000000002</v>
      </c>
      <c r="D49" s="7">
        <v>-3.4699999999999998E-4</v>
      </c>
      <c r="E49" s="7">
        <v>0.174821</v>
      </c>
      <c r="F49">
        <v>22.857652000000002</v>
      </c>
      <c r="G49">
        <v>24.760418999999999</v>
      </c>
      <c r="H49">
        <v>12.183306999999999</v>
      </c>
      <c r="J49" s="8">
        <v>0</v>
      </c>
      <c r="K49" s="8">
        <f t="shared" si="18"/>
        <v>1</v>
      </c>
      <c r="L49" s="8">
        <f t="shared" si="19"/>
        <v>0</v>
      </c>
      <c r="M49" s="8">
        <f t="shared" si="20"/>
        <v>0</v>
      </c>
      <c r="N49" s="8">
        <f t="shared" si="21"/>
        <v>28</v>
      </c>
      <c r="O49" s="9">
        <f t="shared" si="22"/>
        <v>6.3095734448019358E-2</v>
      </c>
      <c r="P49" s="9">
        <f t="shared" si="12"/>
        <v>40.857652000000002</v>
      </c>
      <c r="Q49" s="9">
        <f t="shared" si="13"/>
        <v>-3.4699999999999998E-4</v>
      </c>
      <c r="R49" s="9">
        <f t="shared" si="14"/>
        <v>0.174821</v>
      </c>
      <c r="S49" s="9">
        <f t="shared" si="15"/>
        <v>22.857652000000002</v>
      </c>
      <c r="T49" s="9">
        <f t="shared" si="16"/>
        <v>247.60452130989327</v>
      </c>
      <c r="U49" s="9">
        <f t="shared" si="17"/>
        <v>12.183307340024736</v>
      </c>
    </row>
    <row r="50" spans="1:21" x14ac:dyDescent="0.25">
      <c r="A50" s="7">
        <v>40</v>
      </c>
      <c r="B50" s="7">
        <v>4400000000</v>
      </c>
      <c r="C50" s="7">
        <v>40.952530000000003</v>
      </c>
      <c r="D50" s="7">
        <v>-2.7599999999999999E-4</v>
      </c>
      <c r="E50" s="7">
        <v>0.175814</v>
      </c>
      <c r="F50">
        <v>22.952529999999999</v>
      </c>
      <c r="G50">
        <v>25.167183000000001</v>
      </c>
      <c r="H50">
        <v>12.452396999999999</v>
      </c>
      <c r="J50" s="8">
        <v>0</v>
      </c>
      <c r="K50" s="8">
        <f t="shared" si="18"/>
        <v>1</v>
      </c>
      <c r="L50" s="8">
        <f t="shared" si="19"/>
        <v>0</v>
      </c>
      <c r="M50" s="8">
        <f t="shared" si="20"/>
        <v>0</v>
      </c>
      <c r="N50" s="8">
        <f t="shared" si="21"/>
        <v>28</v>
      </c>
      <c r="O50" s="9">
        <f t="shared" si="22"/>
        <v>6.3095734448019358E-2</v>
      </c>
      <c r="P50" s="9">
        <f t="shared" si="12"/>
        <v>40.952530000000003</v>
      </c>
      <c r="Q50" s="9">
        <f t="shared" si="13"/>
        <v>-2.7599999999999999E-4</v>
      </c>
      <c r="R50" s="9">
        <f t="shared" si="14"/>
        <v>0.175814</v>
      </c>
      <c r="S50" s="9">
        <f t="shared" si="15"/>
        <v>22.952529999999999</v>
      </c>
      <c r="T50" s="9">
        <f t="shared" si="16"/>
        <v>251.67227186182325</v>
      </c>
      <c r="U50" s="9">
        <f t="shared" si="17"/>
        <v>12.452398199880106</v>
      </c>
    </row>
    <row r="51" spans="1:21" x14ac:dyDescent="0.25">
      <c r="A51" s="7">
        <v>41</v>
      </c>
      <c r="B51" s="7">
        <v>4500000000</v>
      </c>
      <c r="C51" s="7">
        <v>40.890987000000003</v>
      </c>
      <c r="D51" s="7">
        <v>-2.61E-4</v>
      </c>
      <c r="E51" s="7">
        <v>0.173767</v>
      </c>
      <c r="F51">
        <v>22.890986999999999</v>
      </c>
      <c r="G51">
        <v>25.103556000000001</v>
      </c>
      <c r="H51">
        <v>12.277183000000001</v>
      </c>
      <c r="J51" s="8">
        <v>0</v>
      </c>
      <c r="K51" s="8">
        <f t="shared" si="18"/>
        <v>1</v>
      </c>
      <c r="L51" s="8">
        <f t="shared" si="19"/>
        <v>0</v>
      </c>
      <c r="M51" s="8">
        <f t="shared" si="20"/>
        <v>0</v>
      </c>
      <c r="N51" s="8">
        <f t="shared" si="21"/>
        <v>28</v>
      </c>
      <c r="O51" s="9">
        <f t="shared" si="22"/>
        <v>6.3095734448019358E-2</v>
      </c>
      <c r="P51" s="9">
        <f t="shared" si="12"/>
        <v>40.890987000000003</v>
      </c>
      <c r="Q51" s="9">
        <f t="shared" si="13"/>
        <v>-2.61E-4</v>
      </c>
      <c r="R51" s="9">
        <f t="shared" si="14"/>
        <v>0.173767</v>
      </c>
      <c r="S51" s="9">
        <f t="shared" si="15"/>
        <v>22.890986999999999</v>
      </c>
      <c r="T51" s="9">
        <f t="shared" si="16"/>
        <v>251.03579661551115</v>
      </c>
      <c r="U51" s="9">
        <f t="shared" si="17"/>
        <v>12.277182170184528</v>
      </c>
    </row>
    <row r="52" spans="1:21" x14ac:dyDescent="0.25">
      <c r="A52" s="7">
        <v>42</v>
      </c>
      <c r="B52" s="7">
        <v>4600000000</v>
      </c>
      <c r="C52" s="7">
        <v>40.740237999999998</v>
      </c>
      <c r="D52" s="7">
        <v>-3.3300000000000002E-4</v>
      </c>
      <c r="E52" s="7">
        <v>0.17422599999999999</v>
      </c>
      <c r="F52">
        <v>22.740238000000002</v>
      </c>
      <c r="G52">
        <v>24.178826000000001</v>
      </c>
      <c r="H52">
        <v>11.858336</v>
      </c>
      <c r="J52" s="8">
        <v>0</v>
      </c>
      <c r="K52" s="8">
        <f t="shared" si="18"/>
        <v>1</v>
      </c>
      <c r="L52" s="8">
        <f t="shared" si="19"/>
        <v>0</v>
      </c>
      <c r="M52" s="8">
        <f t="shared" si="20"/>
        <v>0</v>
      </c>
      <c r="N52" s="8">
        <f t="shared" si="21"/>
        <v>28</v>
      </c>
      <c r="O52" s="9">
        <f t="shared" si="22"/>
        <v>6.3095734448019358E-2</v>
      </c>
      <c r="P52" s="9">
        <f t="shared" si="12"/>
        <v>40.740237999999998</v>
      </c>
      <c r="Q52" s="9">
        <f t="shared" si="13"/>
        <v>-3.3300000000000002E-4</v>
      </c>
      <c r="R52" s="9">
        <f t="shared" si="14"/>
        <v>0.17422599999999999</v>
      </c>
      <c r="S52" s="9">
        <f t="shared" si="15"/>
        <v>22.740238000000002</v>
      </c>
      <c r="T52" s="9">
        <f t="shared" si="16"/>
        <v>241.78861249979425</v>
      </c>
      <c r="U52" s="9">
        <f t="shared" si="17"/>
        <v>11.858337318836981</v>
      </c>
    </row>
    <row r="53" spans="1:21" x14ac:dyDescent="0.25">
      <c r="A53" s="7">
        <v>43</v>
      </c>
      <c r="B53" s="7">
        <v>4700000000</v>
      </c>
      <c r="C53" s="7">
        <v>40.590237999999999</v>
      </c>
      <c r="D53" s="7">
        <v>-4.3199999999999998E-4</v>
      </c>
      <c r="E53" s="7">
        <v>0.169685</v>
      </c>
      <c r="F53">
        <v>22.590237999999999</v>
      </c>
      <c r="G53">
        <v>23.978532000000001</v>
      </c>
      <c r="H53">
        <v>11.455755999999999</v>
      </c>
      <c r="J53" s="8">
        <v>0</v>
      </c>
      <c r="K53" s="8">
        <f t="shared" si="18"/>
        <v>1</v>
      </c>
      <c r="L53" s="8">
        <f t="shared" si="19"/>
        <v>0</v>
      </c>
      <c r="M53" s="8">
        <f t="shared" si="20"/>
        <v>0</v>
      </c>
      <c r="N53" s="8">
        <f t="shared" si="21"/>
        <v>28</v>
      </c>
      <c r="O53" s="9">
        <f t="shared" si="22"/>
        <v>6.3095734448019358E-2</v>
      </c>
      <c r="P53" s="9">
        <f t="shared" si="12"/>
        <v>40.590237999999999</v>
      </c>
      <c r="Q53" s="9">
        <f t="shared" si="13"/>
        <v>-4.3199999999999998E-4</v>
      </c>
      <c r="R53" s="9">
        <f t="shared" si="14"/>
        <v>0.169685</v>
      </c>
      <c r="S53" s="9">
        <f t="shared" si="15"/>
        <v>22.590237999999999</v>
      </c>
      <c r="T53" s="9">
        <f t="shared" si="16"/>
        <v>239.78593645730436</v>
      </c>
      <c r="U53" s="9">
        <f t="shared" si="17"/>
        <v>11.455757190220172</v>
      </c>
    </row>
    <row r="54" spans="1:21" x14ac:dyDescent="0.25">
      <c r="A54" s="7">
        <v>44</v>
      </c>
      <c r="B54" s="7">
        <v>4800000000</v>
      </c>
      <c r="C54" s="7">
        <v>40.312879000000002</v>
      </c>
      <c r="D54" s="7">
        <v>-1.2E-4</v>
      </c>
      <c r="E54" s="7">
        <v>0.164108</v>
      </c>
      <c r="F54">
        <v>22.312878999999999</v>
      </c>
      <c r="G54">
        <v>23.251131000000001</v>
      </c>
      <c r="H54">
        <v>10.747017</v>
      </c>
      <c r="J54" s="8">
        <v>0</v>
      </c>
      <c r="K54" s="8">
        <f t="shared" si="18"/>
        <v>1</v>
      </c>
      <c r="L54" s="8">
        <f t="shared" si="19"/>
        <v>0</v>
      </c>
      <c r="M54" s="8">
        <f t="shared" si="20"/>
        <v>0</v>
      </c>
      <c r="N54" s="8">
        <f t="shared" si="21"/>
        <v>28</v>
      </c>
      <c r="O54" s="9">
        <f t="shared" si="22"/>
        <v>6.3095734448019358E-2</v>
      </c>
      <c r="P54" s="9">
        <f t="shared" si="12"/>
        <v>40.312879000000002</v>
      </c>
      <c r="Q54" s="9">
        <f t="shared" si="13"/>
        <v>-1.2E-4</v>
      </c>
      <c r="R54" s="9">
        <f t="shared" si="14"/>
        <v>0.164108</v>
      </c>
      <c r="S54" s="9">
        <f t="shared" si="15"/>
        <v>22.312878999999999</v>
      </c>
      <c r="T54" s="9">
        <f t="shared" si="16"/>
        <v>232.51065452927006</v>
      </c>
      <c r="U54" s="9">
        <f t="shared" si="17"/>
        <v>10.747016112625067</v>
      </c>
    </row>
    <row r="55" spans="1:21" x14ac:dyDescent="0.25">
      <c r="A55" s="7">
        <v>45</v>
      </c>
      <c r="B55" s="7">
        <v>4900000000</v>
      </c>
      <c r="C55" s="7">
        <v>40.164662999999997</v>
      </c>
      <c r="D55" s="7">
        <v>-2.3499999999999999E-4</v>
      </c>
      <c r="E55" s="7">
        <v>0.16199</v>
      </c>
      <c r="F55">
        <v>22.164663000000001</v>
      </c>
      <c r="G55">
        <v>22.760012</v>
      </c>
      <c r="H55">
        <v>10.386430000000001</v>
      </c>
      <c r="J55" s="8">
        <v>0</v>
      </c>
      <c r="K55" s="8">
        <f t="shared" si="18"/>
        <v>1</v>
      </c>
      <c r="L55" s="8">
        <f t="shared" si="19"/>
        <v>0</v>
      </c>
      <c r="M55" s="8">
        <f t="shared" si="20"/>
        <v>0</v>
      </c>
      <c r="N55" s="8">
        <f t="shared" si="21"/>
        <v>28</v>
      </c>
      <c r="O55" s="9">
        <f t="shared" si="22"/>
        <v>6.3095734448019358E-2</v>
      </c>
      <c r="P55" s="9">
        <f t="shared" si="12"/>
        <v>40.164662999999997</v>
      </c>
      <c r="Q55" s="9">
        <f t="shared" si="13"/>
        <v>-2.3499999999999999E-4</v>
      </c>
      <c r="R55" s="9">
        <f t="shared" si="14"/>
        <v>0.16199</v>
      </c>
      <c r="S55" s="9">
        <f t="shared" si="15"/>
        <v>22.164663000000001</v>
      </c>
      <c r="T55" s="9">
        <f t="shared" si="16"/>
        <v>227.60078447245681</v>
      </c>
      <c r="U55" s="9">
        <f t="shared" si="17"/>
        <v>10.386430035922135</v>
      </c>
    </row>
    <row r="56" spans="1:21" x14ac:dyDescent="0.25">
      <c r="A56" s="7">
        <v>46</v>
      </c>
      <c r="B56" s="7">
        <v>5000000000</v>
      </c>
      <c r="C56" s="7">
        <v>40.139930999999997</v>
      </c>
      <c r="D56" s="7">
        <v>-5.2499999999999997E-4</v>
      </c>
      <c r="E56" s="7">
        <v>0.16070799999999999</v>
      </c>
      <c r="F56">
        <v>22.139931000000001</v>
      </c>
      <c r="G56">
        <v>22.810590999999999</v>
      </c>
      <c r="H56">
        <v>10.327451</v>
      </c>
      <c r="J56" s="8">
        <v>0</v>
      </c>
      <c r="K56" s="8">
        <f t="shared" si="18"/>
        <v>1</v>
      </c>
      <c r="L56" s="8">
        <f t="shared" si="19"/>
        <v>0</v>
      </c>
      <c r="M56" s="8">
        <f t="shared" si="20"/>
        <v>0</v>
      </c>
      <c r="N56" s="8">
        <f t="shared" si="21"/>
        <v>28</v>
      </c>
      <c r="O56" s="9">
        <f t="shared" si="22"/>
        <v>6.3095734448019358E-2</v>
      </c>
      <c r="P56" s="9">
        <f t="shared" si="12"/>
        <v>40.139930999999997</v>
      </c>
      <c r="Q56" s="9">
        <f t="shared" si="13"/>
        <v>-5.2499999999999997E-4</v>
      </c>
      <c r="R56" s="9">
        <f t="shared" si="14"/>
        <v>0.16070799999999999</v>
      </c>
      <c r="S56" s="9">
        <f t="shared" si="15"/>
        <v>22.139931000000001</v>
      </c>
      <c r="T56" s="9">
        <f t="shared" si="16"/>
        <v>228.10568237822642</v>
      </c>
      <c r="U56" s="9">
        <f t="shared" si="17"/>
        <v>10.327449975467221</v>
      </c>
    </row>
    <row r="57" spans="1:21" x14ac:dyDescent="0.25">
      <c r="A57" s="7">
        <v>47</v>
      </c>
      <c r="B57" s="7">
        <v>5100000000</v>
      </c>
      <c r="C57" s="7">
        <v>39.991157000000001</v>
      </c>
      <c r="D57" s="7">
        <v>-1.1E-5</v>
      </c>
      <c r="E57" s="7">
        <v>0.16469</v>
      </c>
      <c r="F57">
        <v>21.991157000000001</v>
      </c>
      <c r="G57">
        <v>21.504826000000001</v>
      </c>
      <c r="H57">
        <v>9.9796580000000006</v>
      </c>
      <c r="J57" s="8">
        <v>0</v>
      </c>
      <c r="K57" s="8">
        <f t="shared" si="18"/>
        <v>1</v>
      </c>
      <c r="L57" s="8">
        <f t="shared" si="19"/>
        <v>0</v>
      </c>
      <c r="M57" s="8">
        <f t="shared" si="20"/>
        <v>0</v>
      </c>
      <c r="N57" s="8">
        <f t="shared" si="21"/>
        <v>28</v>
      </c>
      <c r="O57" s="9">
        <f t="shared" si="22"/>
        <v>6.3095734448019358E-2</v>
      </c>
      <c r="P57" s="9">
        <f t="shared" si="12"/>
        <v>39.991157000000001</v>
      </c>
      <c r="Q57" s="9">
        <f t="shared" si="13"/>
        <v>-1.1E-5</v>
      </c>
      <c r="R57" s="9">
        <f t="shared" si="14"/>
        <v>0.16469</v>
      </c>
      <c r="S57" s="9">
        <f t="shared" si="15"/>
        <v>21.991157000000001</v>
      </c>
      <c r="T57" s="9">
        <f t="shared" si="16"/>
        <v>215.04825563125652</v>
      </c>
      <c r="U57" s="9">
        <f t="shared" si="17"/>
        <v>9.9796589560232771</v>
      </c>
    </row>
    <row r="58" spans="1:21" x14ac:dyDescent="0.25">
      <c r="A58" s="7">
        <v>48</v>
      </c>
      <c r="B58" s="7">
        <v>5200000000</v>
      </c>
      <c r="C58" s="7">
        <v>40.056314</v>
      </c>
      <c r="D58" s="7">
        <v>-3.6400000000000001E-4</v>
      </c>
      <c r="E58" s="7">
        <v>0.17355300000000001</v>
      </c>
      <c r="F58">
        <v>22.056314</v>
      </c>
      <c r="G58">
        <v>20.71706</v>
      </c>
      <c r="H58">
        <v>10.130513000000001</v>
      </c>
      <c r="J58" s="8">
        <v>0</v>
      </c>
      <c r="K58" s="8">
        <f t="shared" si="18"/>
        <v>1</v>
      </c>
      <c r="L58" s="8">
        <f t="shared" si="19"/>
        <v>0</v>
      </c>
      <c r="M58" s="8">
        <f t="shared" si="20"/>
        <v>0</v>
      </c>
      <c r="N58" s="8">
        <f t="shared" si="21"/>
        <v>28</v>
      </c>
      <c r="O58" s="9">
        <f t="shared" si="22"/>
        <v>6.3095734448019358E-2</v>
      </c>
      <c r="P58" s="9">
        <f t="shared" si="12"/>
        <v>40.056314</v>
      </c>
      <c r="Q58" s="9">
        <f t="shared" si="13"/>
        <v>-3.6400000000000001E-4</v>
      </c>
      <c r="R58" s="9">
        <f t="shared" si="14"/>
        <v>0.17355300000000001</v>
      </c>
      <c r="S58" s="9">
        <f t="shared" si="15"/>
        <v>22.056314</v>
      </c>
      <c r="T58" s="9">
        <f t="shared" si="16"/>
        <v>207.17048095174027</v>
      </c>
      <c r="U58" s="9">
        <f t="shared" si="17"/>
        <v>10.130512109020886</v>
      </c>
    </row>
    <row r="59" spans="1:21" x14ac:dyDescent="0.25">
      <c r="A59" s="7">
        <v>49</v>
      </c>
      <c r="B59" s="7">
        <v>5300000000</v>
      </c>
      <c r="C59" s="7">
        <v>40.021053000000002</v>
      </c>
      <c r="D59" s="7">
        <v>-6.0999999999999997E-4</v>
      </c>
      <c r="E59" s="7">
        <v>0.177815</v>
      </c>
      <c r="F59">
        <v>22.021052999999998</v>
      </c>
      <c r="G59">
        <v>20.056003</v>
      </c>
      <c r="H59">
        <v>10.048594</v>
      </c>
      <c r="J59" s="8">
        <v>0</v>
      </c>
      <c r="K59" s="8">
        <f t="shared" si="18"/>
        <v>1</v>
      </c>
      <c r="L59" s="8">
        <f t="shared" si="19"/>
        <v>0</v>
      </c>
      <c r="M59" s="8">
        <f t="shared" si="20"/>
        <v>0</v>
      </c>
      <c r="N59" s="8">
        <f t="shared" si="21"/>
        <v>28</v>
      </c>
      <c r="O59" s="9">
        <f t="shared" si="22"/>
        <v>6.3095734448019358E-2</v>
      </c>
      <c r="P59" s="9">
        <f t="shared" si="12"/>
        <v>40.021053000000002</v>
      </c>
      <c r="Q59" s="9">
        <f t="shared" si="13"/>
        <v>-6.0999999999999997E-4</v>
      </c>
      <c r="R59" s="9">
        <f t="shared" si="14"/>
        <v>0.177815</v>
      </c>
      <c r="S59" s="9">
        <f t="shared" si="15"/>
        <v>22.021052999999998</v>
      </c>
      <c r="T59" s="9">
        <f t="shared" si="16"/>
        <v>200.55953573951757</v>
      </c>
      <c r="U59" s="9">
        <f t="shared" si="17"/>
        <v>10.048594011754268</v>
      </c>
    </row>
    <row r="60" spans="1:21" x14ac:dyDescent="0.25">
      <c r="A60" s="7">
        <v>50</v>
      </c>
      <c r="B60" s="7">
        <v>5400000000</v>
      </c>
      <c r="C60" s="7">
        <v>39.869245999999997</v>
      </c>
      <c r="D60" s="7">
        <v>-7.6000000000000004E-5</v>
      </c>
      <c r="E60" s="7">
        <v>0.18196399999999999</v>
      </c>
      <c r="F60">
        <v>21.869246</v>
      </c>
      <c r="G60">
        <v>18.921157999999998</v>
      </c>
      <c r="H60">
        <v>9.7034160000000007</v>
      </c>
      <c r="J60" s="8">
        <v>0</v>
      </c>
      <c r="K60" s="8">
        <f t="shared" si="18"/>
        <v>1</v>
      </c>
      <c r="L60" s="8">
        <f t="shared" si="19"/>
        <v>0</v>
      </c>
      <c r="M60" s="8">
        <f t="shared" si="20"/>
        <v>0</v>
      </c>
      <c r="N60" s="8">
        <f t="shared" si="21"/>
        <v>28</v>
      </c>
      <c r="O60" s="9">
        <f t="shared" si="22"/>
        <v>6.3095734448019358E-2</v>
      </c>
      <c r="P60" s="9">
        <f t="shared" si="12"/>
        <v>39.869245999999997</v>
      </c>
      <c r="Q60" s="9">
        <f t="shared" si="13"/>
        <v>-7.6000000000000004E-5</v>
      </c>
      <c r="R60" s="9">
        <f t="shared" si="14"/>
        <v>0.18196399999999999</v>
      </c>
      <c r="S60" s="9">
        <f t="shared" si="15"/>
        <v>21.869246</v>
      </c>
      <c r="T60" s="9">
        <f t="shared" si="16"/>
        <v>189.21166381026967</v>
      </c>
      <c r="U60" s="9">
        <f t="shared" si="17"/>
        <v>9.7034148686481529</v>
      </c>
    </row>
    <row r="61" spans="1:21" x14ac:dyDescent="0.25">
      <c r="A61" s="7">
        <v>51</v>
      </c>
      <c r="B61" s="7">
        <v>5500000000</v>
      </c>
      <c r="C61" s="7">
        <v>39.815987</v>
      </c>
      <c r="D61" s="7">
        <v>-1.27E-4</v>
      </c>
      <c r="E61" s="7">
        <v>0.185282</v>
      </c>
      <c r="F61">
        <v>21.815987</v>
      </c>
      <c r="G61">
        <v>18.354327000000001</v>
      </c>
      <c r="H61">
        <v>9.5851439999999997</v>
      </c>
      <c r="J61" s="8">
        <v>0</v>
      </c>
      <c r="K61" s="8">
        <f t="shared" si="18"/>
        <v>1</v>
      </c>
      <c r="L61" s="8">
        <f t="shared" si="19"/>
        <v>0</v>
      </c>
      <c r="M61" s="8">
        <f t="shared" si="20"/>
        <v>0</v>
      </c>
      <c r="N61" s="8">
        <f t="shared" si="21"/>
        <v>28</v>
      </c>
      <c r="O61" s="9">
        <f t="shared" si="22"/>
        <v>6.3095734448019358E-2</v>
      </c>
      <c r="P61" s="9">
        <f t="shared" si="12"/>
        <v>39.815987</v>
      </c>
      <c r="Q61" s="9">
        <f t="shared" si="13"/>
        <v>-1.27E-4</v>
      </c>
      <c r="R61" s="9">
        <f t="shared" si="14"/>
        <v>0.185282</v>
      </c>
      <c r="S61" s="9">
        <f t="shared" si="15"/>
        <v>21.815987</v>
      </c>
      <c r="T61" s="9">
        <f t="shared" si="16"/>
        <v>183.54357046804836</v>
      </c>
      <c r="U61" s="9">
        <f t="shared" si="17"/>
        <v>9.5851452850170809</v>
      </c>
    </row>
    <row r="62" spans="1:21" x14ac:dyDescent="0.25">
      <c r="A62" s="7">
        <v>52</v>
      </c>
      <c r="B62" s="7">
        <v>5600000000</v>
      </c>
      <c r="C62" s="7">
        <v>39.758443</v>
      </c>
      <c r="D62" s="7">
        <v>-1.5699999999999999E-4</v>
      </c>
      <c r="E62" s="7">
        <v>0.18737999999999999</v>
      </c>
      <c r="F62">
        <v>21.758443</v>
      </c>
      <c r="G62">
        <v>17.908415999999999</v>
      </c>
      <c r="H62">
        <v>9.4589789999999994</v>
      </c>
      <c r="J62" s="8">
        <v>0</v>
      </c>
      <c r="K62" s="8">
        <f t="shared" si="18"/>
        <v>1</v>
      </c>
      <c r="L62" s="8">
        <f t="shared" si="19"/>
        <v>0</v>
      </c>
      <c r="M62" s="8">
        <f t="shared" si="20"/>
        <v>0</v>
      </c>
      <c r="N62" s="8">
        <f t="shared" si="21"/>
        <v>28</v>
      </c>
      <c r="O62" s="9">
        <f t="shared" si="22"/>
        <v>6.3095734448019358E-2</v>
      </c>
      <c r="P62" s="9">
        <f t="shared" si="12"/>
        <v>39.758443</v>
      </c>
      <c r="Q62" s="9">
        <f t="shared" si="13"/>
        <v>-1.5699999999999999E-4</v>
      </c>
      <c r="R62" s="9">
        <f t="shared" si="14"/>
        <v>0.18737999999999999</v>
      </c>
      <c r="S62" s="9">
        <f t="shared" si="15"/>
        <v>21.758443</v>
      </c>
      <c r="T62" s="9">
        <f t="shared" si="16"/>
        <v>179.08383477327996</v>
      </c>
      <c r="U62" s="9">
        <f t="shared" si="17"/>
        <v>9.4589798431968344</v>
      </c>
    </row>
    <row r="63" spans="1:21" x14ac:dyDescent="0.25">
      <c r="A63" s="7">
        <v>53</v>
      </c>
      <c r="B63" s="7">
        <v>5700000000</v>
      </c>
      <c r="C63" s="7">
        <v>39.923215999999996</v>
      </c>
      <c r="D63" s="7">
        <v>-6.2500000000000001E-4</v>
      </c>
      <c r="E63" s="7">
        <v>0.18690499999999999</v>
      </c>
      <c r="F63">
        <v>21.923216</v>
      </c>
      <c r="G63">
        <v>18.652774999999998</v>
      </c>
      <c r="H63">
        <v>9.8247509999999991</v>
      </c>
      <c r="J63" s="8">
        <v>0</v>
      </c>
      <c r="K63" s="8">
        <f t="shared" si="18"/>
        <v>1</v>
      </c>
      <c r="L63" s="8">
        <f t="shared" si="19"/>
        <v>0</v>
      </c>
      <c r="M63" s="8">
        <f t="shared" si="20"/>
        <v>0</v>
      </c>
      <c r="N63" s="8">
        <f t="shared" si="21"/>
        <v>28</v>
      </c>
      <c r="O63" s="9">
        <f t="shared" si="22"/>
        <v>6.3095734448019358E-2</v>
      </c>
      <c r="P63" s="9">
        <f t="shared" si="12"/>
        <v>39.923215999999996</v>
      </c>
      <c r="Q63" s="9">
        <f t="shared" si="13"/>
        <v>-6.2500000000000001E-4</v>
      </c>
      <c r="R63" s="9">
        <f t="shared" si="14"/>
        <v>0.18690499999999999</v>
      </c>
      <c r="S63" s="9">
        <f t="shared" si="15"/>
        <v>21.923216</v>
      </c>
      <c r="T63" s="9">
        <f t="shared" si="16"/>
        <v>186.52822754228049</v>
      </c>
      <c r="U63" s="9">
        <f t="shared" si="17"/>
        <v>9.824752077709201</v>
      </c>
    </row>
    <row r="64" spans="1:21" x14ac:dyDescent="0.25">
      <c r="A64" s="7">
        <v>54</v>
      </c>
      <c r="B64" s="7">
        <v>5800000000</v>
      </c>
      <c r="C64" s="7">
        <v>40.006101999999998</v>
      </c>
      <c r="D64" s="7">
        <v>-2.33E-4</v>
      </c>
      <c r="E64" s="7">
        <v>0.184582</v>
      </c>
      <c r="F64">
        <v>22.006101999999998</v>
      </c>
      <c r="G64">
        <v>19.253824999999999</v>
      </c>
      <c r="H64">
        <v>10.014060000000001</v>
      </c>
      <c r="J64" s="8">
        <v>0</v>
      </c>
      <c r="K64" s="8">
        <f t="shared" si="18"/>
        <v>1</v>
      </c>
      <c r="L64" s="8">
        <f t="shared" si="19"/>
        <v>0</v>
      </c>
      <c r="M64" s="8">
        <f t="shared" si="20"/>
        <v>0</v>
      </c>
      <c r="N64" s="8">
        <f t="shared" si="21"/>
        <v>28</v>
      </c>
      <c r="O64" s="9">
        <f t="shared" si="22"/>
        <v>6.3095734448019358E-2</v>
      </c>
      <c r="P64" s="9">
        <f t="shared" si="12"/>
        <v>40.006101999999998</v>
      </c>
      <c r="Q64" s="9">
        <f t="shared" si="13"/>
        <v>-2.33E-4</v>
      </c>
      <c r="R64" s="9">
        <f t="shared" si="14"/>
        <v>0.184582</v>
      </c>
      <c r="S64" s="9">
        <f t="shared" si="15"/>
        <v>22.006101999999998</v>
      </c>
      <c r="T64" s="9">
        <f t="shared" si="16"/>
        <v>192.53859521716143</v>
      </c>
      <c r="U64" s="9">
        <f t="shared" si="17"/>
        <v>10.014060249512765</v>
      </c>
    </row>
    <row r="65" spans="1:21" x14ac:dyDescent="0.25">
      <c r="A65" s="7">
        <v>55</v>
      </c>
      <c r="B65" s="7">
        <v>5900000000</v>
      </c>
      <c r="C65" s="7">
        <v>40.023164000000001</v>
      </c>
      <c r="D65" s="7">
        <v>3.6999999999999998E-5</v>
      </c>
      <c r="E65" s="7">
        <v>0.182477</v>
      </c>
      <c r="F65">
        <v>22.023164000000001</v>
      </c>
      <c r="G65">
        <v>19.553144</v>
      </c>
      <c r="H65">
        <v>10.05348</v>
      </c>
      <c r="J65" s="8">
        <v>0</v>
      </c>
      <c r="K65" s="8">
        <f t="shared" si="18"/>
        <v>1</v>
      </c>
      <c r="L65" s="8">
        <f t="shared" si="19"/>
        <v>0</v>
      </c>
      <c r="M65" s="8">
        <f t="shared" si="20"/>
        <v>0</v>
      </c>
      <c r="N65" s="8">
        <f t="shared" si="21"/>
        <v>28</v>
      </c>
      <c r="O65" s="9">
        <f t="shared" si="22"/>
        <v>6.3095734448019358E-2</v>
      </c>
      <c r="P65" s="9">
        <f t="shared" si="12"/>
        <v>40.023164000000001</v>
      </c>
      <c r="Q65" s="9">
        <f t="shared" si="13"/>
        <v>3.6999999999999998E-5</v>
      </c>
      <c r="R65" s="9">
        <f t="shared" si="14"/>
        <v>0.182477</v>
      </c>
      <c r="S65" s="9">
        <f t="shared" si="15"/>
        <v>22.023164000000001</v>
      </c>
      <c r="T65" s="9">
        <f t="shared" si="16"/>
        <v>195.53117539837646</v>
      </c>
      <c r="U65" s="9">
        <f t="shared" si="17"/>
        <v>10.053479576535491</v>
      </c>
    </row>
    <row r="66" spans="1:21" x14ac:dyDescent="0.25">
      <c r="A66" s="7">
        <v>56</v>
      </c>
      <c r="B66" s="7">
        <v>6000000000</v>
      </c>
      <c r="C66" s="7">
        <v>39.863692</v>
      </c>
      <c r="D66" s="7">
        <v>2.23E-4</v>
      </c>
      <c r="E66" s="7">
        <v>0.18162</v>
      </c>
      <c r="F66">
        <v>21.863692</v>
      </c>
      <c r="G66">
        <v>18.932569000000001</v>
      </c>
      <c r="H66">
        <v>9.6910129999999999</v>
      </c>
      <c r="J66" s="8">
        <v>0</v>
      </c>
      <c r="K66" s="8">
        <f t="shared" si="18"/>
        <v>1</v>
      </c>
      <c r="L66" s="8">
        <f t="shared" si="19"/>
        <v>0</v>
      </c>
      <c r="M66" s="8">
        <f t="shared" si="20"/>
        <v>0</v>
      </c>
      <c r="N66" s="8">
        <f t="shared" si="21"/>
        <v>28</v>
      </c>
      <c r="O66" s="9">
        <f t="shared" si="22"/>
        <v>6.3095734448019358E-2</v>
      </c>
      <c r="P66" s="9">
        <f t="shared" si="12"/>
        <v>39.863692</v>
      </c>
      <c r="Q66" s="9">
        <f t="shared" si="13"/>
        <v>2.23E-4</v>
      </c>
      <c r="R66" s="9">
        <f t="shared" si="14"/>
        <v>0.18162</v>
      </c>
      <c r="S66" s="9">
        <f t="shared" si="15"/>
        <v>21.863692</v>
      </c>
      <c r="T66" s="9">
        <f t="shared" si="16"/>
        <v>189.32617941793518</v>
      </c>
      <c r="U66" s="9">
        <f t="shared" si="17"/>
        <v>9.6910135320959263</v>
      </c>
    </row>
    <row r="67" spans="1:21" x14ac:dyDescent="0.25">
      <c r="A67" s="7">
        <v>57</v>
      </c>
      <c r="B67" s="7">
        <v>6100000000</v>
      </c>
      <c r="C67" s="7">
        <v>39.471449</v>
      </c>
      <c r="D67" s="7">
        <v>-4.66E-4</v>
      </c>
      <c r="E67" s="7">
        <v>0.17922199999999999</v>
      </c>
      <c r="F67">
        <v>21.471449</v>
      </c>
      <c r="G67">
        <v>17.518221</v>
      </c>
      <c r="H67">
        <v>8.8541100000000004</v>
      </c>
      <c r="J67" s="8">
        <v>0</v>
      </c>
      <c r="K67" s="8">
        <f t="shared" si="18"/>
        <v>1</v>
      </c>
      <c r="L67" s="8">
        <f t="shared" si="19"/>
        <v>0</v>
      </c>
      <c r="M67" s="8">
        <f t="shared" si="20"/>
        <v>0</v>
      </c>
      <c r="N67" s="8">
        <f t="shared" si="21"/>
        <v>28</v>
      </c>
      <c r="O67" s="9">
        <f t="shared" si="22"/>
        <v>6.3095734448019358E-2</v>
      </c>
      <c r="P67" s="9">
        <f t="shared" si="12"/>
        <v>39.471449</v>
      </c>
      <c r="Q67" s="9">
        <f t="shared" si="13"/>
        <v>-4.66E-4</v>
      </c>
      <c r="R67" s="9">
        <f t="shared" si="14"/>
        <v>0.17922199999999999</v>
      </c>
      <c r="S67" s="9">
        <f t="shared" si="15"/>
        <v>21.471449</v>
      </c>
      <c r="T67" s="9">
        <f t="shared" si="16"/>
        <v>175.18205666761793</v>
      </c>
      <c r="U67" s="9">
        <f t="shared" si="17"/>
        <v>8.8541097312714889</v>
      </c>
    </row>
    <row r="68" spans="1:21" x14ac:dyDescent="0.25">
      <c r="A68" s="7">
        <v>58</v>
      </c>
      <c r="B68" s="7">
        <v>6200000000</v>
      </c>
      <c r="C68" s="7">
        <v>39.561798000000003</v>
      </c>
      <c r="D68" s="7">
        <v>1.8599999999999999E-4</v>
      </c>
      <c r="E68" s="7">
        <v>0.17704300000000001</v>
      </c>
      <c r="F68">
        <v>21.561798</v>
      </c>
      <c r="G68">
        <v>18.109324999999998</v>
      </c>
      <c r="H68">
        <v>9.0402360000000002</v>
      </c>
      <c r="J68" s="8">
        <v>0</v>
      </c>
      <c r="K68" s="8">
        <f t="shared" si="18"/>
        <v>1</v>
      </c>
      <c r="L68" s="8">
        <f t="shared" si="19"/>
        <v>0</v>
      </c>
      <c r="M68" s="8">
        <f t="shared" si="20"/>
        <v>0</v>
      </c>
      <c r="N68" s="8">
        <f t="shared" si="21"/>
        <v>28</v>
      </c>
      <c r="O68" s="9">
        <f t="shared" si="22"/>
        <v>6.3095734448019358E-2</v>
      </c>
      <c r="P68" s="9">
        <f t="shared" si="12"/>
        <v>39.561798000000003</v>
      </c>
      <c r="Q68" s="9">
        <f t="shared" si="13"/>
        <v>1.8599999999999999E-4</v>
      </c>
      <c r="R68" s="9">
        <f t="shared" si="14"/>
        <v>0.17704300000000001</v>
      </c>
      <c r="S68" s="9">
        <f t="shared" si="15"/>
        <v>21.561798</v>
      </c>
      <c r="T68" s="9">
        <f t="shared" si="16"/>
        <v>181.09282832627477</v>
      </c>
      <c r="U68" s="9">
        <f t="shared" si="17"/>
        <v>9.0402366639512444</v>
      </c>
    </row>
    <row r="69" spans="1:21" x14ac:dyDescent="0.25">
      <c r="A69" s="7">
        <v>59</v>
      </c>
      <c r="B69" s="7">
        <v>6300000000</v>
      </c>
      <c r="C69" s="7">
        <v>39.537387000000003</v>
      </c>
      <c r="D69" s="7">
        <v>-1.6000000000000001E-4</v>
      </c>
      <c r="E69" s="7">
        <v>0.17424999999999999</v>
      </c>
      <c r="F69">
        <v>21.537386999999999</v>
      </c>
      <c r="G69">
        <v>18.295708999999999</v>
      </c>
      <c r="H69">
        <v>8.9895659999999999</v>
      </c>
      <c r="J69" s="8">
        <v>0</v>
      </c>
      <c r="K69" s="8">
        <f t="shared" si="18"/>
        <v>1</v>
      </c>
      <c r="L69" s="8">
        <f t="shared" si="19"/>
        <v>0</v>
      </c>
      <c r="M69" s="8">
        <f t="shared" si="20"/>
        <v>0</v>
      </c>
      <c r="N69" s="8">
        <f t="shared" si="21"/>
        <v>28</v>
      </c>
      <c r="O69" s="9">
        <f t="shared" si="22"/>
        <v>6.3095734448019358E-2</v>
      </c>
      <c r="P69" s="9">
        <f t="shared" si="12"/>
        <v>39.537387000000003</v>
      </c>
      <c r="Q69" s="9">
        <f t="shared" si="13"/>
        <v>-1.6000000000000001E-4</v>
      </c>
      <c r="R69" s="9">
        <f t="shared" si="14"/>
        <v>0.17424999999999999</v>
      </c>
      <c r="S69" s="9">
        <f t="shared" si="15"/>
        <v>21.537386999999999</v>
      </c>
      <c r="T69" s="9">
        <f t="shared" si="16"/>
        <v>182.95695310797115</v>
      </c>
      <c r="U69" s="9">
        <f t="shared" si="17"/>
        <v>8.9895654765859305</v>
      </c>
    </row>
    <row r="70" spans="1:21" x14ac:dyDescent="0.25">
      <c r="A70" s="7">
        <v>60</v>
      </c>
      <c r="B70" s="7">
        <v>6400000000</v>
      </c>
      <c r="C70" s="7">
        <v>39.444786000000001</v>
      </c>
      <c r="D70" s="7">
        <v>-5.5400000000000002E-4</v>
      </c>
      <c r="E70" s="7">
        <v>0.17174200000000001</v>
      </c>
      <c r="F70">
        <v>21.444786000000001</v>
      </c>
      <c r="G70">
        <v>18.168506000000001</v>
      </c>
      <c r="H70">
        <v>8.7999179999999999</v>
      </c>
      <c r="J70" s="8">
        <v>0</v>
      </c>
      <c r="K70" s="8">
        <f t="shared" si="18"/>
        <v>1</v>
      </c>
      <c r="L70" s="8">
        <f t="shared" si="19"/>
        <v>0</v>
      </c>
      <c r="M70" s="8">
        <f t="shared" si="20"/>
        <v>0</v>
      </c>
      <c r="N70" s="8">
        <f t="shared" si="21"/>
        <v>28</v>
      </c>
      <c r="O70" s="9">
        <f t="shared" si="22"/>
        <v>6.3095734448019358E-2</v>
      </c>
      <c r="P70" s="9">
        <f t="shared" si="12"/>
        <v>39.444786000000001</v>
      </c>
      <c r="Q70" s="9">
        <f t="shared" si="13"/>
        <v>-5.5400000000000002E-4</v>
      </c>
      <c r="R70" s="9">
        <f t="shared" si="14"/>
        <v>0.17174200000000001</v>
      </c>
      <c r="S70" s="9">
        <f t="shared" si="15"/>
        <v>21.444786000000001</v>
      </c>
      <c r="T70" s="9">
        <f t="shared" si="16"/>
        <v>181.68493922326212</v>
      </c>
      <c r="U70" s="9">
        <f t="shared" si="17"/>
        <v>8.7999174874308341</v>
      </c>
    </row>
    <row r="71" spans="1:21" x14ac:dyDescent="0.25">
      <c r="A71" s="7">
        <v>61</v>
      </c>
      <c r="B71" s="7">
        <v>6500000000</v>
      </c>
      <c r="C71" s="7">
        <v>39.598377999999997</v>
      </c>
      <c r="D71" s="7">
        <v>-1.12E-4</v>
      </c>
      <c r="E71" s="7">
        <v>0.17039499999999999</v>
      </c>
      <c r="F71">
        <v>21.598378</v>
      </c>
      <c r="G71">
        <v>18.976078999999999</v>
      </c>
      <c r="H71">
        <v>9.1167020000000001</v>
      </c>
      <c r="J71" s="8">
        <v>0</v>
      </c>
      <c r="K71" s="8">
        <f t="shared" si="18"/>
        <v>1</v>
      </c>
      <c r="L71" s="8">
        <f t="shared" si="19"/>
        <v>0</v>
      </c>
      <c r="M71" s="8">
        <f t="shared" si="20"/>
        <v>0</v>
      </c>
      <c r="N71" s="8">
        <f t="shared" si="21"/>
        <v>28</v>
      </c>
      <c r="O71" s="9">
        <f t="shared" si="22"/>
        <v>6.3095734448019358E-2</v>
      </c>
      <c r="P71" s="9">
        <f t="shared" si="12"/>
        <v>39.598377999999997</v>
      </c>
      <c r="Q71" s="9">
        <f t="shared" si="13"/>
        <v>-1.12E-4</v>
      </c>
      <c r="R71" s="9">
        <f t="shared" si="14"/>
        <v>0.17039499999999999</v>
      </c>
      <c r="S71" s="9">
        <f t="shared" si="15"/>
        <v>21.598378</v>
      </c>
      <c r="T71" s="9">
        <f t="shared" si="16"/>
        <v>189.76091525534105</v>
      </c>
      <c r="U71" s="9">
        <f t="shared" si="17"/>
        <v>9.1167028578294929</v>
      </c>
    </row>
    <row r="72" spans="1:21" x14ac:dyDescent="0.25">
      <c r="A72" s="7">
        <v>62</v>
      </c>
      <c r="B72" s="7">
        <v>6600000000</v>
      </c>
      <c r="C72" s="7">
        <v>39.315086999999998</v>
      </c>
      <c r="D72" s="7">
        <v>-4.8899999999999996E-4</v>
      </c>
      <c r="E72" s="7">
        <v>0.16916400000000001</v>
      </c>
      <c r="F72">
        <v>21.315086999999998</v>
      </c>
      <c r="G72">
        <v>17.898752000000002</v>
      </c>
      <c r="H72">
        <v>8.5410000000000004</v>
      </c>
      <c r="J72" s="8">
        <v>0</v>
      </c>
      <c r="K72" s="8">
        <f t="shared" si="18"/>
        <v>1</v>
      </c>
      <c r="L72" s="8">
        <f t="shared" si="19"/>
        <v>0</v>
      </c>
      <c r="M72" s="8">
        <f t="shared" si="20"/>
        <v>0</v>
      </c>
      <c r="N72" s="8">
        <f t="shared" si="21"/>
        <v>28</v>
      </c>
      <c r="O72" s="9">
        <f t="shared" si="22"/>
        <v>6.3095734448019358E-2</v>
      </c>
      <c r="P72" s="9">
        <f t="shared" si="12"/>
        <v>39.315086999999998</v>
      </c>
      <c r="Q72" s="9">
        <f t="shared" si="13"/>
        <v>-4.8899999999999996E-4</v>
      </c>
      <c r="R72" s="9">
        <f t="shared" si="14"/>
        <v>0.16916400000000001</v>
      </c>
      <c r="S72" s="9">
        <f t="shared" si="15"/>
        <v>21.315086999999998</v>
      </c>
      <c r="T72" s="9">
        <f t="shared" si="16"/>
        <v>178.9874203966649</v>
      </c>
      <c r="U72" s="9">
        <f t="shared" si="17"/>
        <v>8.5409995699628176</v>
      </c>
    </row>
    <row r="73" spans="1:21" x14ac:dyDescent="0.25">
      <c r="A73" s="7">
        <v>63</v>
      </c>
      <c r="B73" s="7">
        <v>6700000000</v>
      </c>
      <c r="C73" s="7">
        <v>38.896363999999998</v>
      </c>
      <c r="D73" s="7">
        <v>-6.8999999999999997E-5</v>
      </c>
      <c r="E73" s="7">
        <v>0.16786599999999999</v>
      </c>
      <c r="F73">
        <v>20.896363999999998</v>
      </c>
      <c r="G73">
        <v>16.367010000000001</v>
      </c>
      <c r="H73">
        <v>7.7559750000000003</v>
      </c>
      <c r="J73" s="8">
        <v>0</v>
      </c>
      <c r="K73" s="8">
        <f t="shared" si="18"/>
        <v>1</v>
      </c>
      <c r="L73" s="8">
        <f t="shared" si="19"/>
        <v>0</v>
      </c>
      <c r="M73" s="8">
        <f t="shared" si="20"/>
        <v>0</v>
      </c>
      <c r="N73" s="8">
        <f t="shared" si="21"/>
        <v>28</v>
      </c>
      <c r="O73" s="9">
        <f t="shared" si="22"/>
        <v>6.3095734448019358E-2</v>
      </c>
      <c r="P73" s="9">
        <f t="shared" si="12"/>
        <v>38.896363999999998</v>
      </c>
      <c r="Q73" s="9">
        <f t="shared" si="13"/>
        <v>-6.8999999999999997E-5</v>
      </c>
      <c r="R73" s="9">
        <f t="shared" si="14"/>
        <v>0.16786599999999999</v>
      </c>
      <c r="S73" s="9">
        <f t="shared" si="15"/>
        <v>20.896363999999998</v>
      </c>
      <c r="T73" s="9">
        <f t="shared" si="16"/>
        <v>163.66964585570193</v>
      </c>
      <c r="U73" s="9">
        <f t="shared" si="17"/>
        <v>7.7559749903877302</v>
      </c>
    </row>
    <row r="74" spans="1:21" x14ac:dyDescent="0.25">
      <c r="A74" s="7">
        <v>64</v>
      </c>
      <c r="B74" s="7">
        <v>6800000000</v>
      </c>
      <c r="C74" s="7">
        <v>38.742972999999999</v>
      </c>
      <c r="D74" s="7">
        <v>-5.1699999999999999E-4</v>
      </c>
      <c r="E74" s="7">
        <v>0.168464</v>
      </c>
      <c r="F74">
        <v>20.742972999999999</v>
      </c>
      <c r="G74">
        <v>15.738273</v>
      </c>
      <c r="H74">
        <v>7.4868180000000004</v>
      </c>
      <c r="J74" s="8">
        <v>0</v>
      </c>
      <c r="K74" s="8">
        <f t="shared" si="18"/>
        <v>1</v>
      </c>
      <c r="L74" s="8">
        <f t="shared" si="19"/>
        <v>0</v>
      </c>
      <c r="M74" s="8">
        <f t="shared" si="20"/>
        <v>0</v>
      </c>
      <c r="N74" s="8">
        <f t="shared" si="21"/>
        <v>28</v>
      </c>
      <c r="O74" s="9">
        <f t="shared" si="22"/>
        <v>6.3095734448019358E-2</v>
      </c>
      <c r="P74" s="9">
        <f t="shared" si="12"/>
        <v>38.742972999999999</v>
      </c>
      <c r="Q74" s="9">
        <f t="shared" si="13"/>
        <v>-5.1699999999999999E-4</v>
      </c>
      <c r="R74" s="9">
        <f t="shared" si="14"/>
        <v>0.168464</v>
      </c>
      <c r="S74" s="9">
        <f t="shared" si="15"/>
        <v>20.742972999999999</v>
      </c>
      <c r="T74" s="9">
        <f t="shared" si="16"/>
        <v>157.38255825686088</v>
      </c>
      <c r="U74" s="9">
        <f t="shared" si="17"/>
        <v>7.4868184168194869</v>
      </c>
    </row>
    <row r="75" spans="1:21" x14ac:dyDescent="0.25">
      <c r="A75" s="7">
        <v>65</v>
      </c>
      <c r="B75" s="7">
        <v>6900000000</v>
      </c>
      <c r="C75" s="7">
        <v>38.794319999999999</v>
      </c>
      <c r="D75" s="7">
        <v>-2.3499999999999999E-4</v>
      </c>
      <c r="E75" s="7">
        <v>0.171234</v>
      </c>
      <c r="F75">
        <v>20.794319999999999</v>
      </c>
      <c r="G75">
        <v>15.669358000000001</v>
      </c>
      <c r="H75">
        <v>7.5758619999999999</v>
      </c>
      <c r="J75" s="8">
        <v>0</v>
      </c>
      <c r="K75" s="8">
        <f t="shared" si="18"/>
        <v>1</v>
      </c>
      <c r="L75" s="8">
        <f t="shared" si="19"/>
        <v>0</v>
      </c>
      <c r="M75" s="8">
        <f t="shared" si="20"/>
        <v>0</v>
      </c>
      <c r="N75" s="8">
        <f t="shared" si="21"/>
        <v>28</v>
      </c>
      <c r="O75" s="9">
        <f t="shared" si="22"/>
        <v>6.3095734448019358E-2</v>
      </c>
      <c r="P75" s="9">
        <f t="shared" ref="P75:P96" si="23">C75+J75</f>
        <v>38.794319999999999</v>
      </c>
      <c r="Q75" s="9">
        <f t="shared" ref="Q75:Q96" si="24">D75-L75</f>
        <v>-2.3499999999999999E-4</v>
      </c>
      <c r="R75" s="9">
        <f t="shared" ref="R75:R96" si="25">(E75-M75)*K75</f>
        <v>0.171234</v>
      </c>
      <c r="S75" s="9">
        <f t="shared" ref="S75:S96" si="26">F75+J75</f>
        <v>20.794319999999999</v>
      </c>
      <c r="T75" s="9">
        <f t="shared" ref="T75:T106" si="27">((U75-O75)/(N75*R75))*100</f>
        <v>156.69379130608297</v>
      </c>
      <c r="U75" s="9">
        <f t="shared" ref="U75:U96" si="28">(10^(P75/10))/1000</f>
        <v>7.5758610393896468</v>
      </c>
    </row>
    <row r="76" spans="1:21" x14ac:dyDescent="0.25">
      <c r="A76" s="7">
        <v>66</v>
      </c>
      <c r="B76" s="7">
        <v>7000000000</v>
      </c>
      <c r="C76" s="7">
        <v>38.848599999999998</v>
      </c>
      <c r="D76" s="7">
        <v>-2.5399999999999999E-4</v>
      </c>
      <c r="E76" s="7">
        <v>0.17407600000000001</v>
      </c>
      <c r="F76">
        <v>20.848600000000001</v>
      </c>
      <c r="G76">
        <v>15.609022</v>
      </c>
      <c r="H76">
        <v>7.6711410000000004</v>
      </c>
      <c r="J76" s="8">
        <v>0</v>
      </c>
      <c r="K76" s="8">
        <f t="shared" ref="K76:K96" si="29">K75</f>
        <v>1</v>
      </c>
      <c r="L76" s="8">
        <f t="shared" ref="L76:L96" si="30">L75</f>
        <v>0</v>
      </c>
      <c r="M76" s="8">
        <f t="shared" ref="M76:M96" si="31">M75</f>
        <v>0</v>
      </c>
      <c r="N76" s="8">
        <f t="shared" ref="N76:N96" si="32">N75</f>
        <v>28</v>
      </c>
      <c r="O76" s="9">
        <f t="shared" ref="O76:O96" si="33">O75</f>
        <v>6.3095734448019358E-2</v>
      </c>
      <c r="P76" s="9">
        <f t="shared" si="23"/>
        <v>38.848599999999998</v>
      </c>
      <c r="Q76" s="9">
        <f t="shared" si="24"/>
        <v>-2.5399999999999999E-4</v>
      </c>
      <c r="R76" s="9">
        <f t="shared" si="25"/>
        <v>0.17407600000000001</v>
      </c>
      <c r="S76" s="9">
        <f t="shared" si="26"/>
        <v>20.848600000000001</v>
      </c>
      <c r="T76" s="9">
        <f t="shared" si="27"/>
        <v>156.09039969120116</v>
      </c>
      <c r="U76" s="9">
        <f t="shared" si="28"/>
        <v>7.6711416111087694</v>
      </c>
    </row>
    <row r="77" spans="1:21" x14ac:dyDescent="0.25">
      <c r="A77" s="7">
        <v>67</v>
      </c>
      <c r="B77" s="7">
        <v>7100000000</v>
      </c>
      <c r="C77" s="7">
        <v>39.094653999999998</v>
      </c>
      <c r="D77" s="7">
        <v>-4.6500000000000003E-4</v>
      </c>
      <c r="E77" s="7">
        <v>0.17685999999999999</v>
      </c>
      <c r="F77">
        <v>21.094653999999998</v>
      </c>
      <c r="G77">
        <v>16.266275</v>
      </c>
      <c r="H77">
        <v>8.1183060000000005</v>
      </c>
      <c r="J77" s="8">
        <v>0</v>
      </c>
      <c r="K77" s="8">
        <f t="shared" si="29"/>
        <v>1</v>
      </c>
      <c r="L77" s="8">
        <f t="shared" si="30"/>
        <v>0</v>
      </c>
      <c r="M77" s="8">
        <f t="shared" si="31"/>
        <v>0</v>
      </c>
      <c r="N77" s="8">
        <f t="shared" si="32"/>
        <v>28</v>
      </c>
      <c r="O77" s="9">
        <f t="shared" si="33"/>
        <v>6.3095734448019358E-2</v>
      </c>
      <c r="P77" s="9">
        <f t="shared" si="23"/>
        <v>39.094653999999998</v>
      </c>
      <c r="Q77" s="9">
        <f t="shared" si="24"/>
        <v>-4.6500000000000003E-4</v>
      </c>
      <c r="R77" s="9">
        <f t="shared" si="25"/>
        <v>0.17685999999999999</v>
      </c>
      <c r="S77" s="9">
        <f t="shared" si="26"/>
        <v>21.094653999999998</v>
      </c>
      <c r="T77" s="9">
        <f t="shared" si="27"/>
        <v>162.66316271631277</v>
      </c>
      <c r="U77" s="9">
        <f t="shared" si="28"/>
        <v>8.11830568269</v>
      </c>
    </row>
    <row r="78" spans="1:21" x14ac:dyDescent="0.25">
      <c r="A78" s="7">
        <v>68</v>
      </c>
      <c r="B78" s="7">
        <v>7200000000</v>
      </c>
      <c r="C78" s="7">
        <v>39.147132999999997</v>
      </c>
      <c r="D78" s="7">
        <v>-2.4499999999999999E-4</v>
      </c>
      <c r="E78" s="7">
        <v>0.17788899999999999</v>
      </c>
      <c r="F78">
        <v>21.147133</v>
      </c>
      <c r="G78">
        <v>16.370398000000002</v>
      </c>
      <c r="H78">
        <v>8.2170000000000005</v>
      </c>
      <c r="J78" s="8">
        <v>0</v>
      </c>
      <c r="K78" s="8">
        <f t="shared" si="29"/>
        <v>1</v>
      </c>
      <c r="L78" s="8">
        <f t="shared" si="30"/>
        <v>0</v>
      </c>
      <c r="M78" s="8">
        <f t="shared" si="31"/>
        <v>0</v>
      </c>
      <c r="N78" s="8">
        <f t="shared" si="32"/>
        <v>28</v>
      </c>
      <c r="O78" s="9">
        <f t="shared" si="33"/>
        <v>6.3095734448019358E-2</v>
      </c>
      <c r="P78" s="9">
        <f t="shared" si="23"/>
        <v>39.147132999999997</v>
      </c>
      <c r="Q78" s="9">
        <f t="shared" si="24"/>
        <v>-2.4499999999999999E-4</v>
      </c>
      <c r="R78" s="9">
        <f t="shared" si="25"/>
        <v>0.17788899999999999</v>
      </c>
      <c r="S78" s="9">
        <f t="shared" si="26"/>
        <v>21.147133</v>
      </c>
      <c r="T78" s="9">
        <f t="shared" si="27"/>
        <v>163.70370030138139</v>
      </c>
      <c r="U78" s="9">
        <f t="shared" si="28"/>
        <v>8.2170002464635008</v>
      </c>
    </row>
    <row r="79" spans="1:21" x14ac:dyDescent="0.25">
      <c r="A79" s="7">
        <v>69</v>
      </c>
      <c r="B79" s="7">
        <v>7300000000</v>
      </c>
      <c r="C79" s="7">
        <v>38.870798999999998</v>
      </c>
      <c r="D79" s="7">
        <v>-5.0600000000000005E-4</v>
      </c>
      <c r="E79" s="7">
        <v>0.17804900000000001</v>
      </c>
      <c r="F79">
        <v>20.870799000000002</v>
      </c>
      <c r="G79">
        <v>15.339570999999999</v>
      </c>
      <c r="H79">
        <v>7.7104530000000002</v>
      </c>
      <c r="J79" s="8">
        <v>0</v>
      </c>
      <c r="K79" s="8">
        <f t="shared" si="29"/>
        <v>1</v>
      </c>
      <c r="L79" s="8">
        <f t="shared" si="30"/>
        <v>0</v>
      </c>
      <c r="M79" s="8">
        <f t="shared" si="31"/>
        <v>0</v>
      </c>
      <c r="N79" s="8">
        <f t="shared" si="32"/>
        <v>28</v>
      </c>
      <c r="O79" s="9">
        <f t="shared" si="33"/>
        <v>6.3095734448019358E-2</v>
      </c>
      <c r="P79" s="9">
        <f t="shared" si="23"/>
        <v>38.870798999999998</v>
      </c>
      <c r="Q79" s="9">
        <f t="shared" si="24"/>
        <v>-5.0600000000000005E-4</v>
      </c>
      <c r="R79" s="9">
        <f t="shared" si="25"/>
        <v>0.17804900000000001</v>
      </c>
      <c r="S79" s="9">
        <f t="shared" si="26"/>
        <v>20.870799000000002</v>
      </c>
      <c r="T79" s="9">
        <f t="shared" si="27"/>
        <v>153.39592247614678</v>
      </c>
      <c r="U79" s="9">
        <f t="shared" si="28"/>
        <v>7.7104531027155474</v>
      </c>
    </row>
    <row r="80" spans="1:21" x14ac:dyDescent="0.25">
      <c r="A80" s="7">
        <v>70</v>
      </c>
      <c r="B80" s="7">
        <v>7400000000</v>
      </c>
      <c r="C80" s="7">
        <v>38.718392000000001</v>
      </c>
      <c r="D80" s="7">
        <v>-1.7200000000000001E-4</v>
      </c>
      <c r="E80" s="7">
        <v>0.17877199999999999</v>
      </c>
      <c r="F80">
        <v>20.718392000000001</v>
      </c>
      <c r="G80">
        <v>14.746378</v>
      </c>
      <c r="H80">
        <v>7.4445629999999996</v>
      </c>
      <c r="J80" s="8">
        <v>0</v>
      </c>
      <c r="K80" s="8">
        <f t="shared" si="29"/>
        <v>1</v>
      </c>
      <c r="L80" s="8">
        <f t="shared" si="30"/>
        <v>0</v>
      </c>
      <c r="M80" s="8">
        <f t="shared" si="31"/>
        <v>0</v>
      </c>
      <c r="N80" s="8">
        <f t="shared" si="32"/>
        <v>28</v>
      </c>
      <c r="O80" s="9">
        <f t="shared" si="33"/>
        <v>6.3095734448019358E-2</v>
      </c>
      <c r="P80" s="9">
        <f t="shared" si="23"/>
        <v>38.718392000000001</v>
      </c>
      <c r="Q80" s="9">
        <f t="shared" si="24"/>
        <v>-1.7200000000000001E-4</v>
      </c>
      <c r="R80" s="9">
        <f t="shared" si="25"/>
        <v>0.17877199999999999</v>
      </c>
      <c r="S80" s="9">
        <f t="shared" si="26"/>
        <v>20.718392000000001</v>
      </c>
      <c r="T80" s="9">
        <f t="shared" si="27"/>
        <v>147.46371081134751</v>
      </c>
      <c r="U80" s="9">
        <f t="shared" si="28"/>
        <v>7.4445628370145593</v>
      </c>
    </row>
    <row r="81" spans="1:21" x14ac:dyDescent="0.25">
      <c r="A81" s="7">
        <v>71</v>
      </c>
      <c r="B81" s="7">
        <v>7500000000</v>
      </c>
      <c r="C81" s="7">
        <v>38.605469999999997</v>
      </c>
      <c r="D81" s="7">
        <v>-4.95E-4</v>
      </c>
      <c r="E81" s="7">
        <v>0.178429</v>
      </c>
      <c r="F81">
        <v>20.60547</v>
      </c>
      <c r="G81">
        <v>14.392267</v>
      </c>
      <c r="H81">
        <v>7.2534900000000002</v>
      </c>
      <c r="J81" s="8">
        <v>0</v>
      </c>
      <c r="K81" s="8">
        <f t="shared" si="29"/>
        <v>1</v>
      </c>
      <c r="L81" s="8">
        <f t="shared" si="30"/>
        <v>0</v>
      </c>
      <c r="M81" s="8">
        <f t="shared" si="31"/>
        <v>0</v>
      </c>
      <c r="N81" s="8">
        <f t="shared" si="32"/>
        <v>28</v>
      </c>
      <c r="O81" s="9">
        <f t="shared" si="33"/>
        <v>6.3095734448019358E-2</v>
      </c>
      <c r="P81" s="9">
        <f t="shared" si="23"/>
        <v>38.605469999999997</v>
      </c>
      <c r="Q81" s="9">
        <f t="shared" si="24"/>
        <v>-4.95E-4</v>
      </c>
      <c r="R81" s="9">
        <f t="shared" si="25"/>
        <v>0.178429</v>
      </c>
      <c r="S81" s="9">
        <f t="shared" si="26"/>
        <v>20.60547</v>
      </c>
      <c r="T81" s="9">
        <f t="shared" si="27"/>
        <v>143.92267247403149</v>
      </c>
      <c r="U81" s="9">
        <f t="shared" si="28"/>
        <v>7.2534897219713308</v>
      </c>
    </row>
    <row r="82" spans="1:21" x14ac:dyDescent="0.25">
      <c r="A82" s="7">
        <v>72</v>
      </c>
      <c r="B82" s="7">
        <v>7600000000</v>
      </c>
      <c r="C82" s="7">
        <v>38.500138</v>
      </c>
      <c r="D82" s="7">
        <v>-4.5600000000000003E-4</v>
      </c>
      <c r="E82" s="7">
        <v>0.17917</v>
      </c>
      <c r="F82">
        <v>20.500138</v>
      </c>
      <c r="G82">
        <v>13.986293999999999</v>
      </c>
      <c r="H82">
        <v>7.0796830000000002</v>
      </c>
      <c r="J82" s="8">
        <v>0</v>
      </c>
      <c r="K82" s="8">
        <f t="shared" si="29"/>
        <v>1</v>
      </c>
      <c r="L82" s="8">
        <f t="shared" si="30"/>
        <v>0</v>
      </c>
      <c r="M82" s="8">
        <f t="shared" si="31"/>
        <v>0</v>
      </c>
      <c r="N82" s="8">
        <f t="shared" si="32"/>
        <v>28</v>
      </c>
      <c r="O82" s="9">
        <f t="shared" si="33"/>
        <v>6.3095734448019358E-2</v>
      </c>
      <c r="P82" s="9">
        <f t="shared" si="23"/>
        <v>38.500138</v>
      </c>
      <c r="Q82" s="9">
        <f t="shared" si="24"/>
        <v>-4.5600000000000003E-4</v>
      </c>
      <c r="R82" s="9">
        <f t="shared" si="25"/>
        <v>0.17917</v>
      </c>
      <c r="S82" s="9">
        <f t="shared" si="26"/>
        <v>20.500138</v>
      </c>
      <c r="T82" s="9">
        <f t="shared" si="27"/>
        <v>139.86292083962547</v>
      </c>
      <c r="U82" s="9">
        <f t="shared" si="28"/>
        <v>7.0796828019620133</v>
      </c>
    </row>
    <row r="83" spans="1:21" x14ac:dyDescent="0.25">
      <c r="A83" s="7">
        <v>73</v>
      </c>
      <c r="B83" s="7">
        <v>7700000000</v>
      </c>
      <c r="C83" s="7">
        <v>38.626519999999999</v>
      </c>
      <c r="D83" s="7">
        <v>-2.03E-4</v>
      </c>
      <c r="E83" s="7">
        <v>0.177618</v>
      </c>
      <c r="F83">
        <v>20.626519999999999</v>
      </c>
      <c r="G83">
        <v>14.528846</v>
      </c>
      <c r="H83">
        <v>7.2887320000000004</v>
      </c>
      <c r="J83" s="8">
        <v>0</v>
      </c>
      <c r="K83" s="8">
        <f t="shared" si="29"/>
        <v>1</v>
      </c>
      <c r="L83" s="8">
        <f t="shared" si="30"/>
        <v>0</v>
      </c>
      <c r="M83" s="8">
        <f t="shared" si="31"/>
        <v>0</v>
      </c>
      <c r="N83" s="8">
        <f t="shared" si="32"/>
        <v>28</v>
      </c>
      <c r="O83" s="9">
        <f t="shared" si="33"/>
        <v>6.3095734448019358E-2</v>
      </c>
      <c r="P83" s="9">
        <f t="shared" si="23"/>
        <v>38.626519999999999</v>
      </c>
      <c r="Q83" s="9">
        <f t="shared" si="24"/>
        <v>-2.03E-4</v>
      </c>
      <c r="R83" s="9">
        <f t="shared" si="25"/>
        <v>0.177618</v>
      </c>
      <c r="S83" s="9">
        <f t="shared" si="26"/>
        <v>20.626519999999999</v>
      </c>
      <c r="T83" s="9">
        <f t="shared" si="27"/>
        <v>145.28845550411879</v>
      </c>
      <c r="U83" s="9">
        <f t="shared" si="28"/>
        <v>7.2887323035725782</v>
      </c>
    </row>
    <row r="84" spans="1:21" x14ac:dyDescent="0.25">
      <c r="A84" s="7">
        <v>74</v>
      </c>
      <c r="B84" s="7">
        <v>7800000000</v>
      </c>
      <c r="C84" s="7">
        <v>38.29222</v>
      </c>
      <c r="D84" s="7">
        <v>-2.1900000000000001E-4</v>
      </c>
      <c r="E84" s="7">
        <v>0.176956</v>
      </c>
      <c r="F84">
        <v>20.29222</v>
      </c>
      <c r="G84">
        <v>13.493358000000001</v>
      </c>
      <c r="H84">
        <v>6.748729</v>
      </c>
      <c r="J84" s="8">
        <v>0</v>
      </c>
      <c r="K84" s="8">
        <f t="shared" si="29"/>
        <v>1</v>
      </c>
      <c r="L84" s="8">
        <f t="shared" si="30"/>
        <v>0</v>
      </c>
      <c r="M84" s="8">
        <f t="shared" si="31"/>
        <v>0</v>
      </c>
      <c r="N84" s="8">
        <f t="shared" si="32"/>
        <v>28</v>
      </c>
      <c r="O84" s="9">
        <f t="shared" si="33"/>
        <v>6.3095734448019358E-2</v>
      </c>
      <c r="P84" s="9">
        <f t="shared" si="23"/>
        <v>38.29222</v>
      </c>
      <c r="Q84" s="9">
        <f t="shared" si="24"/>
        <v>-2.1900000000000001E-4</v>
      </c>
      <c r="R84" s="9">
        <f t="shared" si="25"/>
        <v>0.176956</v>
      </c>
      <c r="S84" s="9">
        <f t="shared" si="26"/>
        <v>20.29222</v>
      </c>
      <c r="T84" s="9">
        <f t="shared" si="27"/>
        <v>134.93332957488016</v>
      </c>
      <c r="U84" s="9">
        <f t="shared" si="28"/>
        <v>6.7487291695587164</v>
      </c>
    </row>
    <row r="85" spans="1:21" x14ac:dyDescent="0.25">
      <c r="A85" s="7">
        <v>75</v>
      </c>
      <c r="B85" s="7">
        <v>7900000000</v>
      </c>
      <c r="C85" s="7">
        <v>38.121125999999997</v>
      </c>
      <c r="D85" s="7">
        <v>-4.8999999999999998E-5</v>
      </c>
      <c r="E85" s="7">
        <v>0.17784</v>
      </c>
      <c r="F85">
        <v>20.121126</v>
      </c>
      <c r="G85">
        <v>12.902696000000001</v>
      </c>
      <c r="H85">
        <v>6.4880259999999996</v>
      </c>
      <c r="J85" s="8">
        <v>0</v>
      </c>
      <c r="K85" s="8">
        <f t="shared" si="29"/>
        <v>1</v>
      </c>
      <c r="L85" s="8">
        <f t="shared" si="30"/>
        <v>0</v>
      </c>
      <c r="M85" s="8">
        <f t="shared" si="31"/>
        <v>0</v>
      </c>
      <c r="N85" s="8">
        <f t="shared" si="32"/>
        <v>28</v>
      </c>
      <c r="O85" s="9">
        <f t="shared" si="33"/>
        <v>6.3095734448019358E-2</v>
      </c>
      <c r="P85" s="9">
        <f t="shared" si="23"/>
        <v>38.121125999999997</v>
      </c>
      <c r="Q85" s="9">
        <f t="shared" si="24"/>
        <v>-4.8999999999999998E-5</v>
      </c>
      <c r="R85" s="9">
        <f t="shared" si="25"/>
        <v>0.17784</v>
      </c>
      <c r="S85" s="9">
        <f t="shared" si="26"/>
        <v>20.121126</v>
      </c>
      <c r="T85" s="9">
        <f t="shared" si="27"/>
        <v>129.02710583700329</v>
      </c>
      <c r="U85" s="9">
        <f t="shared" si="28"/>
        <v>6.488026275022766</v>
      </c>
    </row>
    <row r="86" spans="1:21" x14ac:dyDescent="0.25">
      <c r="A86" s="7">
        <v>76</v>
      </c>
      <c r="B86" s="7">
        <v>8000000000</v>
      </c>
      <c r="C86" s="7">
        <v>38.129497000000001</v>
      </c>
      <c r="D86" s="7">
        <v>2.8699999999999998E-4</v>
      </c>
      <c r="E86" s="7">
        <v>0.176733</v>
      </c>
      <c r="F86">
        <v>20.129497000000001</v>
      </c>
      <c r="G86">
        <v>13.008808999999999</v>
      </c>
      <c r="H86">
        <v>6.5005439999999997</v>
      </c>
      <c r="J86" s="8">
        <v>0</v>
      </c>
      <c r="K86" s="8">
        <f t="shared" si="29"/>
        <v>1</v>
      </c>
      <c r="L86" s="8">
        <f t="shared" si="30"/>
        <v>0</v>
      </c>
      <c r="M86" s="8">
        <f t="shared" si="31"/>
        <v>0</v>
      </c>
      <c r="N86" s="8">
        <f t="shared" si="32"/>
        <v>28</v>
      </c>
      <c r="O86" s="9">
        <f t="shared" si="33"/>
        <v>6.3095734448019358E-2</v>
      </c>
      <c r="P86" s="9">
        <f t="shared" si="23"/>
        <v>38.129497000000001</v>
      </c>
      <c r="Q86" s="9">
        <f t="shared" si="24"/>
        <v>2.8699999999999998E-4</v>
      </c>
      <c r="R86" s="9">
        <f t="shared" si="25"/>
        <v>0.176733</v>
      </c>
      <c r="S86" s="9">
        <f t="shared" si="26"/>
        <v>20.129497000000001</v>
      </c>
      <c r="T86" s="9">
        <f t="shared" si="27"/>
        <v>130.08824918668205</v>
      </c>
      <c r="U86" s="9">
        <f t="shared" si="28"/>
        <v>6.5005439666307856</v>
      </c>
    </row>
    <row r="87" spans="1:21" x14ac:dyDescent="0.25">
      <c r="A87" s="7">
        <v>77</v>
      </c>
      <c r="B87" s="7">
        <v>8100000000</v>
      </c>
      <c r="C87" s="7">
        <v>38.04318</v>
      </c>
      <c r="D87" s="7">
        <v>-2.33E-4</v>
      </c>
      <c r="E87" s="7">
        <v>0.175674</v>
      </c>
      <c r="F87">
        <v>20.04318</v>
      </c>
      <c r="G87">
        <v>12.827178999999999</v>
      </c>
      <c r="H87">
        <v>6.3726190000000003</v>
      </c>
      <c r="J87" s="8">
        <v>0</v>
      </c>
      <c r="K87" s="8">
        <f t="shared" si="29"/>
        <v>1</v>
      </c>
      <c r="L87" s="8">
        <f t="shared" si="30"/>
        <v>0</v>
      </c>
      <c r="M87" s="8">
        <f t="shared" si="31"/>
        <v>0</v>
      </c>
      <c r="N87" s="8">
        <f t="shared" si="32"/>
        <v>28</v>
      </c>
      <c r="O87" s="9">
        <f t="shared" si="33"/>
        <v>6.3095734448019358E-2</v>
      </c>
      <c r="P87" s="9">
        <f t="shared" si="23"/>
        <v>38.04318</v>
      </c>
      <c r="Q87" s="9">
        <f t="shared" si="24"/>
        <v>-2.33E-4</v>
      </c>
      <c r="R87" s="9">
        <f t="shared" si="25"/>
        <v>0.175674</v>
      </c>
      <c r="S87" s="9">
        <f t="shared" si="26"/>
        <v>20.04318</v>
      </c>
      <c r="T87" s="9">
        <f t="shared" si="27"/>
        <v>128.2717651407313</v>
      </c>
      <c r="U87" s="9">
        <f t="shared" si="28"/>
        <v>6.3726196738612133</v>
      </c>
    </row>
    <row r="88" spans="1:21" x14ac:dyDescent="0.25">
      <c r="A88" s="7">
        <v>78</v>
      </c>
      <c r="B88" s="7">
        <v>8200000000</v>
      </c>
      <c r="C88" s="7">
        <v>38.110787000000002</v>
      </c>
      <c r="D88" s="7">
        <v>-2.1800000000000001E-4</v>
      </c>
      <c r="E88" s="7">
        <v>0.176318</v>
      </c>
      <c r="F88">
        <v>20.110786999999998</v>
      </c>
      <c r="G88">
        <v>12.982806999999999</v>
      </c>
      <c r="H88">
        <v>6.4725989999999998</v>
      </c>
      <c r="J88" s="8">
        <v>0</v>
      </c>
      <c r="K88" s="8">
        <f t="shared" si="29"/>
        <v>1</v>
      </c>
      <c r="L88" s="8">
        <f t="shared" si="30"/>
        <v>0</v>
      </c>
      <c r="M88" s="8">
        <f t="shared" si="31"/>
        <v>0</v>
      </c>
      <c r="N88" s="8">
        <f t="shared" si="32"/>
        <v>28</v>
      </c>
      <c r="O88" s="9">
        <f t="shared" si="33"/>
        <v>6.3095734448019358E-2</v>
      </c>
      <c r="P88" s="9">
        <f t="shared" si="23"/>
        <v>38.110787000000002</v>
      </c>
      <c r="Q88" s="9">
        <f t="shared" si="24"/>
        <v>-2.1800000000000001E-4</v>
      </c>
      <c r="R88" s="9">
        <f t="shared" si="25"/>
        <v>0.176318</v>
      </c>
      <c r="S88" s="9">
        <f t="shared" si="26"/>
        <v>20.110786999999998</v>
      </c>
      <c r="T88" s="9">
        <f t="shared" si="27"/>
        <v>129.82839526025688</v>
      </c>
      <c r="U88" s="9">
        <f t="shared" si="28"/>
        <v>6.472598973187452</v>
      </c>
    </row>
    <row r="89" spans="1:21" x14ac:dyDescent="0.25">
      <c r="A89" s="7">
        <v>79</v>
      </c>
      <c r="B89" s="7">
        <v>8300000000</v>
      </c>
      <c r="C89" s="7">
        <v>38.069766999999999</v>
      </c>
      <c r="D89" s="7">
        <v>-6.6000000000000005E-5</v>
      </c>
      <c r="E89" s="7">
        <v>0.175651</v>
      </c>
      <c r="F89">
        <v>20.069766999999999</v>
      </c>
      <c r="G89">
        <v>12.908439</v>
      </c>
      <c r="H89">
        <v>6.4117509999999998</v>
      </c>
      <c r="J89" s="8">
        <v>0</v>
      </c>
      <c r="K89" s="8">
        <f t="shared" si="29"/>
        <v>1</v>
      </c>
      <c r="L89" s="8">
        <f t="shared" si="30"/>
        <v>0</v>
      </c>
      <c r="M89" s="8">
        <f t="shared" si="31"/>
        <v>0</v>
      </c>
      <c r="N89" s="8">
        <f t="shared" si="32"/>
        <v>28</v>
      </c>
      <c r="O89" s="9">
        <f t="shared" si="33"/>
        <v>6.3095734448019358E-2</v>
      </c>
      <c r="P89" s="9">
        <f t="shared" si="23"/>
        <v>38.069766999999999</v>
      </c>
      <c r="Q89" s="9">
        <f t="shared" si="24"/>
        <v>-6.6000000000000005E-5</v>
      </c>
      <c r="R89" s="9">
        <f t="shared" si="25"/>
        <v>0.175651</v>
      </c>
      <c r="S89" s="9">
        <f t="shared" si="26"/>
        <v>20.069766999999999</v>
      </c>
      <c r="T89" s="9">
        <f t="shared" si="27"/>
        <v>129.08421549797677</v>
      </c>
      <c r="U89" s="9">
        <f t="shared" si="28"/>
        <v>6.4117517646498525</v>
      </c>
    </row>
    <row r="90" spans="1:21" x14ac:dyDescent="0.25">
      <c r="A90" s="7">
        <v>80</v>
      </c>
      <c r="B90" s="7">
        <v>8400000000</v>
      </c>
      <c r="C90" s="7">
        <v>37.633375000000001</v>
      </c>
      <c r="D90" s="7">
        <v>-3.0600000000000001E-4</v>
      </c>
      <c r="E90" s="7">
        <v>0.17508399999999999</v>
      </c>
      <c r="F90">
        <v>19.633375000000001</v>
      </c>
      <c r="G90">
        <v>11.699885</v>
      </c>
      <c r="H90">
        <v>5.7987909999999996</v>
      </c>
      <c r="J90" s="8">
        <v>0</v>
      </c>
      <c r="K90" s="8">
        <f t="shared" si="29"/>
        <v>1</v>
      </c>
      <c r="L90" s="8">
        <f t="shared" si="30"/>
        <v>0</v>
      </c>
      <c r="M90" s="8">
        <f t="shared" si="31"/>
        <v>0</v>
      </c>
      <c r="N90" s="8">
        <f t="shared" si="32"/>
        <v>28</v>
      </c>
      <c r="O90" s="9">
        <f t="shared" si="33"/>
        <v>6.3095734448019358E-2</v>
      </c>
      <c r="P90" s="9">
        <f t="shared" si="23"/>
        <v>37.633375000000001</v>
      </c>
      <c r="Q90" s="9">
        <f t="shared" si="24"/>
        <v>-3.0600000000000001E-4</v>
      </c>
      <c r="R90" s="9">
        <f t="shared" si="25"/>
        <v>0.17508399999999999</v>
      </c>
      <c r="S90" s="9">
        <f t="shared" si="26"/>
        <v>19.633375000000001</v>
      </c>
      <c r="T90" s="9">
        <f t="shared" si="27"/>
        <v>116.99885790547413</v>
      </c>
      <c r="U90" s="9">
        <f t="shared" si="28"/>
        <v>5.7987915849541878</v>
      </c>
    </row>
    <row r="91" spans="1:21" x14ac:dyDescent="0.25">
      <c r="A91" s="7">
        <v>81</v>
      </c>
      <c r="B91" s="7">
        <v>8500000000</v>
      </c>
      <c r="C91" s="7">
        <v>37.530048000000001</v>
      </c>
      <c r="D91" s="7">
        <v>-2.9E-4</v>
      </c>
      <c r="E91" s="7">
        <v>0.17572299999999999</v>
      </c>
      <c r="F91">
        <v>19.530048000000001</v>
      </c>
      <c r="G91">
        <v>11.380273000000001</v>
      </c>
      <c r="H91">
        <v>5.6624549999999996</v>
      </c>
      <c r="J91" s="8">
        <v>0</v>
      </c>
      <c r="K91" s="8">
        <f t="shared" si="29"/>
        <v>1</v>
      </c>
      <c r="L91" s="8">
        <f t="shared" si="30"/>
        <v>0</v>
      </c>
      <c r="M91" s="8">
        <f t="shared" si="31"/>
        <v>0</v>
      </c>
      <c r="N91" s="8">
        <f t="shared" si="32"/>
        <v>28</v>
      </c>
      <c r="O91" s="9">
        <f t="shared" si="33"/>
        <v>6.3095734448019358E-2</v>
      </c>
      <c r="P91" s="9">
        <f t="shared" si="23"/>
        <v>37.530048000000001</v>
      </c>
      <c r="Q91" s="9">
        <f t="shared" si="24"/>
        <v>-2.9E-4</v>
      </c>
      <c r="R91" s="9">
        <f t="shared" si="25"/>
        <v>0.17572299999999999</v>
      </c>
      <c r="S91" s="9">
        <f t="shared" si="26"/>
        <v>19.530048000000001</v>
      </c>
      <c r="T91" s="9">
        <f t="shared" si="27"/>
        <v>113.8024809208523</v>
      </c>
      <c r="U91" s="9">
        <f t="shared" si="28"/>
        <v>5.6624554738073991</v>
      </c>
    </row>
    <row r="92" spans="1:21" x14ac:dyDescent="0.25">
      <c r="A92" s="7">
        <v>82</v>
      </c>
      <c r="B92" s="7">
        <v>8600000000</v>
      </c>
      <c r="C92" s="7">
        <v>37.495441999999997</v>
      </c>
      <c r="D92" s="7">
        <v>-4.6999999999999997E-5</v>
      </c>
      <c r="E92" s="7">
        <v>0.17514199999999999</v>
      </c>
      <c r="F92">
        <v>19.495442000000001</v>
      </c>
      <c r="G92">
        <v>11.326359999999999</v>
      </c>
      <c r="H92">
        <v>5.617515</v>
      </c>
      <c r="J92" s="8">
        <v>0</v>
      </c>
      <c r="K92" s="8">
        <f t="shared" si="29"/>
        <v>1</v>
      </c>
      <c r="L92" s="8">
        <f t="shared" si="30"/>
        <v>0</v>
      </c>
      <c r="M92" s="8">
        <f t="shared" si="31"/>
        <v>0</v>
      </c>
      <c r="N92" s="8">
        <f t="shared" si="32"/>
        <v>28</v>
      </c>
      <c r="O92" s="9">
        <f t="shared" si="33"/>
        <v>6.3095734448019358E-2</v>
      </c>
      <c r="P92" s="9">
        <f t="shared" si="23"/>
        <v>37.495441999999997</v>
      </c>
      <c r="Q92" s="9">
        <f t="shared" si="24"/>
        <v>-4.6999999999999997E-5</v>
      </c>
      <c r="R92" s="9">
        <f t="shared" si="25"/>
        <v>0.17514199999999999</v>
      </c>
      <c r="S92" s="9">
        <f t="shared" si="26"/>
        <v>19.495442000000001</v>
      </c>
      <c r="T92" s="9">
        <f t="shared" si="27"/>
        <v>113.26357915293643</v>
      </c>
      <c r="U92" s="9">
        <f t="shared" si="28"/>
        <v>5.6175144728490256</v>
      </c>
    </row>
    <row r="93" spans="1:21" x14ac:dyDescent="0.25">
      <c r="A93" s="7">
        <v>83</v>
      </c>
      <c r="B93" s="7">
        <v>8700000000</v>
      </c>
      <c r="C93" s="7">
        <v>37.200622000000003</v>
      </c>
      <c r="D93" s="7">
        <v>-3.7100000000000002E-4</v>
      </c>
      <c r="E93" s="7">
        <v>0.17518500000000001</v>
      </c>
      <c r="F93">
        <v>19.200621999999999</v>
      </c>
      <c r="G93">
        <v>10.571939</v>
      </c>
      <c r="H93">
        <v>5.2488270000000004</v>
      </c>
      <c r="J93" s="8">
        <v>0</v>
      </c>
      <c r="K93" s="8">
        <f t="shared" si="29"/>
        <v>1</v>
      </c>
      <c r="L93" s="8">
        <f t="shared" si="30"/>
        <v>0</v>
      </c>
      <c r="M93" s="8">
        <f t="shared" si="31"/>
        <v>0</v>
      </c>
      <c r="N93" s="8">
        <f t="shared" si="32"/>
        <v>28</v>
      </c>
      <c r="O93" s="9">
        <f t="shared" si="33"/>
        <v>6.3095734448019358E-2</v>
      </c>
      <c r="P93" s="9">
        <f t="shared" si="23"/>
        <v>37.200622000000003</v>
      </c>
      <c r="Q93" s="9">
        <f t="shared" si="24"/>
        <v>-3.7100000000000002E-4</v>
      </c>
      <c r="R93" s="9">
        <f t="shared" si="25"/>
        <v>0.17518500000000001</v>
      </c>
      <c r="S93" s="9">
        <f t="shared" si="26"/>
        <v>19.200621999999999</v>
      </c>
      <c r="T93" s="9">
        <f t="shared" si="27"/>
        <v>105.71947523398131</v>
      </c>
      <c r="U93" s="9">
        <f t="shared" si="28"/>
        <v>5.248826289730224</v>
      </c>
    </row>
    <row r="94" spans="1:21" x14ac:dyDescent="0.25">
      <c r="A94" s="7">
        <v>84</v>
      </c>
      <c r="B94" s="7">
        <v>8800000000</v>
      </c>
      <c r="C94" s="7">
        <v>37.225019000000003</v>
      </c>
      <c r="D94" s="7">
        <v>-1.6000000000000001E-4</v>
      </c>
      <c r="E94" s="7">
        <v>0.174009</v>
      </c>
      <c r="F94">
        <v>19.225019</v>
      </c>
      <c r="G94">
        <v>10.704097000000001</v>
      </c>
      <c r="H94">
        <v>5.2783959999999999</v>
      </c>
      <c r="J94" s="8">
        <v>0</v>
      </c>
      <c r="K94" s="8">
        <f t="shared" si="29"/>
        <v>1</v>
      </c>
      <c r="L94" s="8">
        <f t="shared" si="30"/>
        <v>0</v>
      </c>
      <c r="M94" s="8">
        <f t="shared" si="31"/>
        <v>0</v>
      </c>
      <c r="N94" s="8">
        <f t="shared" si="32"/>
        <v>28</v>
      </c>
      <c r="O94" s="9">
        <f t="shared" si="33"/>
        <v>6.3095734448019358E-2</v>
      </c>
      <c r="P94" s="9">
        <f t="shared" si="23"/>
        <v>37.225019000000003</v>
      </c>
      <c r="Q94" s="9">
        <f t="shared" si="24"/>
        <v>-1.6000000000000001E-4</v>
      </c>
      <c r="R94" s="9">
        <f t="shared" si="25"/>
        <v>0.174009</v>
      </c>
      <c r="S94" s="9">
        <f t="shared" si="26"/>
        <v>19.225019</v>
      </c>
      <c r="T94" s="9">
        <f t="shared" si="27"/>
        <v>107.0408391402961</v>
      </c>
      <c r="U94" s="9">
        <f t="shared" si="28"/>
        <v>5.2783951602778778</v>
      </c>
    </row>
    <row r="95" spans="1:21" x14ac:dyDescent="0.25">
      <c r="A95" s="7">
        <v>85</v>
      </c>
      <c r="B95" s="7">
        <v>8900000000</v>
      </c>
      <c r="C95" s="7">
        <v>37.233690000000003</v>
      </c>
      <c r="D95" s="7">
        <v>-1.8799999999999999E-4</v>
      </c>
      <c r="E95" s="7">
        <v>0.17383399999999999</v>
      </c>
      <c r="F95">
        <v>19.233689999999999</v>
      </c>
      <c r="G95">
        <v>10.736563</v>
      </c>
      <c r="H95">
        <v>5.2889439999999999</v>
      </c>
      <c r="J95" s="8">
        <v>0</v>
      </c>
      <c r="K95" s="8">
        <f t="shared" si="29"/>
        <v>1</v>
      </c>
      <c r="L95" s="8">
        <f t="shared" si="30"/>
        <v>0</v>
      </c>
      <c r="M95" s="8">
        <f t="shared" si="31"/>
        <v>0</v>
      </c>
      <c r="N95" s="8">
        <f t="shared" si="32"/>
        <v>28</v>
      </c>
      <c r="O95" s="9">
        <f t="shared" si="33"/>
        <v>6.3095734448019358E-2</v>
      </c>
      <c r="P95" s="9">
        <f t="shared" si="23"/>
        <v>37.233690000000003</v>
      </c>
      <c r="Q95" s="9">
        <f t="shared" si="24"/>
        <v>-1.8799999999999999E-4</v>
      </c>
      <c r="R95" s="9">
        <f t="shared" si="25"/>
        <v>0.17383399999999999</v>
      </c>
      <c r="S95" s="9">
        <f t="shared" si="26"/>
        <v>19.233689999999999</v>
      </c>
      <c r="T95" s="9">
        <f t="shared" si="27"/>
        <v>107.36533225839764</v>
      </c>
      <c r="U95" s="9">
        <f t="shared" si="28"/>
        <v>5.2889443814337813</v>
      </c>
    </row>
    <row r="96" spans="1:21" x14ac:dyDescent="0.25">
      <c r="A96" s="7">
        <v>86</v>
      </c>
      <c r="B96" s="7">
        <v>9000000000</v>
      </c>
      <c r="C96" s="7">
        <v>37.121203999999999</v>
      </c>
      <c r="D96" s="7">
        <v>1.0399999999999999E-4</v>
      </c>
      <c r="E96" s="7">
        <v>0.17127500000000001</v>
      </c>
      <c r="F96">
        <v>19.121203999999999</v>
      </c>
      <c r="G96">
        <v>10.614979</v>
      </c>
      <c r="H96">
        <v>5.153715</v>
      </c>
      <c r="J96" s="8">
        <v>0</v>
      </c>
      <c r="K96" s="8">
        <f t="shared" si="29"/>
        <v>1</v>
      </c>
      <c r="L96" s="8">
        <f t="shared" si="30"/>
        <v>0</v>
      </c>
      <c r="M96" s="8">
        <f t="shared" si="31"/>
        <v>0</v>
      </c>
      <c r="N96" s="8">
        <f t="shared" si="32"/>
        <v>28</v>
      </c>
      <c r="O96" s="9">
        <f t="shared" si="33"/>
        <v>6.3095734448019358E-2</v>
      </c>
      <c r="P96" s="9">
        <f t="shared" si="23"/>
        <v>37.121203999999999</v>
      </c>
      <c r="Q96" s="9">
        <f t="shared" si="24"/>
        <v>1.0399999999999999E-4</v>
      </c>
      <c r="R96" s="9">
        <f t="shared" si="25"/>
        <v>0.17127500000000001</v>
      </c>
      <c r="S96" s="9">
        <f t="shared" si="26"/>
        <v>19.121203999999999</v>
      </c>
      <c r="T96" s="9">
        <f t="shared" si="27"/>
        <v>106.14966082469488</v>
      </c>
      <c r="U96" s="9">
        <f t="shared" si="28"/>
        <v>5.1537150186179117</v>
      </c>
    </row>
    <row r="97" spans="1:5" x14ac:dyDescent="0.25">
      <c r="A97" s="7"/>
      <c r="B97" s="7"/>
      <c r="C97" s="7"/>
      <c r="D97" s="7"/>
      <c r="E97" s="7"/>
    </row>
    <row r="98" spans="1:5" x14ac:dyDescent="0.25">
      <c r="A98" s="7"/>
      <c r="B98" s="7"/>
      <c r="C98" s="7"/>
      <c r="D98" s="7"/>
      <c r="E98" s="7"/>
    </row>
    <row r="99" spans="1:5" x14ac:dyDescent="0.25">
      <c r="A99" s="7"/>
      <c r="B99" s="7"/>
      <c r="C99" s="7"/>
      <c r="D99" s="7"/>
      <c r="E99" s="7"/>
    </row>
    <row r="100" spans="1:5" x14ac:dyDescent="0.25">
      <c r="A100" s="7"/>
      <c r="B100" s="7"/>
      <c r="C100" s="7"/>
      <c r="D100" s="7"/>
      <c r="E100" s="7"/>
    </row>
    <row r="101" spans="1:5" x14ac:dyDescent="0.25">
      <c r="A101" s="7"/>
      <c r="B101" s="7"/>
      <c r="C101" s="7"/>
      <c r="D101" s="7"/>
      <c r="E101" s="7"/>
    </row>
    <row r="102" spans="1:5" x14ac:dyDescent="0.25">
      <c r="A102" s="7"/>
      <c r="B102" s="7"/>
      <c r="C102" s="7"/>
      <c r="D102" s="7"/>
      <c r="E102" s="7"/>
    </row>
    <row r="103" spans="1:5" x14ac:dyDescent="0.25">
      <c r="A103" s="7"/>
      <c r="B103" s="7"/>
      <c r="C103" s="7"/>
      <c r="D103" s="7"/>
      <c r="E103" s="7"/>
    </row>
    <row r="104" spans="1:5" x14ac:dyDescent="0.25">
      <c r="A104" s="7"/>
      <c r="B104" s="7"/>
      <c r="C104" s="7"/>
      <c r="D104" s="7"/>
      <c r="E104" s="7"/>
    </row>
    <row r="105" spans="1:5" x14ac:dyDescent="0.25">
      <c r="A105" s="7"/>
      <c r="B105" s="7"/>
      <c r="C105" s="7"/>
      <c r="D105" s="7"/>
      <c r="E105" s="7"/>
    </row>
    <row r="106" spans="1:5" x14ac:dyDescent="0.25">
      <c r="A106" s="7"/>
      <c r="B106" s="7"/>
      <c r="C106" s="7"/>
      <c r="D106" s="7"/>
      <c r="E106" s="7"/>
    </row>
    <row r="107" spans="1:5" x14ac:dyDescent="0.25">
      <c r="A107" s="7"/>
      <c r="B107" s="7"/>
      <c r="C107" s="7"/>
      <c r="D107" s="7"/>
      <c r="E107" s="7"/>
    </row>
    <row r="108" spans="1:5" x14ac:dyDescent="0.25">
      <c r="A108" s="7"/>
      <c r="B108" s="7"/>
      <c r="C108" s="7"/>
      <c r="D108" s="7"/>
      <c r="E108" s="7"/>
    </row>
    <row r="109" spans="1:5" x14ac:dyDescent="0.25">
      <c r="A109" s="7"/>
      <c r="B109" s="7"/>
      <c r="C109" s="7"/>
      <c r="D109" s="7"/>
      <c r="E109" s="7"/>
    </row>
    <row r="110" spans="1:5" x14ac:dyDescent="0.25">
      <c r="A110" s="7"/>
      <c r="B110" s="7"/>
      <c r="C110" s="7"/>
      <c r="D110" s="7"/>
      <c r="E110" s="7"/>
    </row>
    <row r="111" spans="1:5" x14ac:dyDescent="0.25">
      <c r="A111" s="7"/>
      <c r="B111" s="7"/>
      <c r="C111" s="7"/>
      <c r="D111" s="7"/>
      <c r="E111" s="7"/>
    </row>
    <row r="112" spans="1:5" x14ac:dyDescent="0.25">
      <c r="A112" s="7"/>
      <c r="B112" s="7"/>
      <c r="C112" s="7"/>
      <c r="D112" s="7"/>
      <c r="E112" s="7"/>
    </row>
    <row r="113" spans="1:5" x14ac:dyDescent="0.25">
      <c r="A113" s="7"/>
      <c r="B113" s="7"/>
      <c r="C113" s="7"/>
      <c r="D113" s="7"/>
      <c r="E113" s="7"/>
    </row>
    <row r="114" spans="1:5" x14ac:dyDescent="0.25">
      <c r="A114" s="7"/>
      <c r="B114" s="7"/>
      <c r="C114" s="7"/>
      <c r="D114" s="7"/>
      <c r="E114" s="7"/>
    </row>
    <row r="115" spans="1:5" x14ac:dyDescent="0.25">
      <c r="A115" s="7"/>
      <c r="B115" s="7"/>
      <c r="C115" s="7"/>
      <c r="D115" s="7"/>
      <c r="E115" s="7"/>
    </row>
    <row r="116" spans="1:5" x14ac:dyDescent="0.25">
      <c r="A116" s="7"/>
      <c r="B116" s="7"/>
      <c r="C116" s="7"/>
      <c r="D116" s="7"/>
      <c r="E116" s="7"/>
    </row>
    <row r="117" spans="1:5" x14ac:dyDescent="0.25">
      <c r="A117" s="7"/>
      <c r="B117" s="7"/>
      <c r="C117" s="7"/>
      <c r="D117" s="7"/>
      <c r="E117" s="7"/>
    </row>
    <row r="118" spans="1:5" x14ac:dyDescent="0.25">
      <c r="A118" s="7"/>
      <c r="B118" s="7"/>
      <c r="C118" s="7"/>
      <c r="D118" s="7"/>
      <c r="E118" s="7"/>
    </row>
    <row r="119" spans="1:5" x14ac:dyDescent="0.25">
      <c r="A119" s="7"/>
      <c r="B119" s="7"/>
      <c r="C119" s="7"/>
      <c r="D119" s="7"/>
      <c r="E119" s="7"/>
    </row>
    <row r="120" spans="1:5" x14ac:dyDescent="0.25">
      <c r="A120" s="7"/>
      <c r="B120" s="7"/>
      <c r="C120" s="7"/>
      <c r="D120" s="7"/>
      <c r="E120" s="7"/>
    </row>
    <row r="121" spans="1:5" x14ac:dyDescent="0.25">
      <c r="A121" s="7"/>
      <c r="B121" s="7"/>
      <c r="C121" s="7"/>
      <c r="D121" s="7"/>
      <c r="E121" s="7"/>
    </row>
    <row r="122" spans="1:5" x14ac:dyDescent="0.25">
      <c r="A122" s="7"/>
      <c r="B122" s="7"/>
      <c r="C122" s="7"/>
      <c r="D122" s="7"/>
      <c r="E122" s="7"/>
    </row>
    <row r="123" spans="1:5" x14ac:dyDescent="0.25">
      <c r="A123" s="7"/>
      <c r="B123" s="7"/>
      <c r="C123" s="7"/>
      <c r="D123" s="7"/>
      <c r="E123" s="7"/>
    </row>
    <row r="124" spans="1:5" x14ac:dyDescent="0.25">
      <c r="A124" s="7"/>
      <c r="B124" s="7"/>
      <c r="C124" s="7"/>
      <c r="D124" s="7"/>
      <c r="E124" s="7"/>
    </row>
    <row r="125" spans="1:5" x14ac:dyDescent="0.25">
      <c r="A125" s="7"/>
      <c r="B125" s="7"/>
      <c r="C125" s="7"/>
      <c r="D125" s="7"/>
      <c r="E125" s="7"/>
    </row>
    <row r="126" spans="1:5" x14ac:dyDescent="0.25">
      <c r="A126" s="7"/>
      <c r="B126" s="7"/>
      <c r="C126" s="7"/>
      <c r="D126" s="7"/>
      <c r="E126" s="7"/>
    </row>
    <row r="127" spans="1:5" x14ac:dyDescent="0.25">
      <c r="A127" s="7"/>
      <c r="B127" s="7"/>
      <c r="C127" s="7"/>
      <c r="D127" s="7"/>
      <c r="E127" s="7"/>
    </row>
    <row r="128" spans="1:5" x14ac:dyDescent="0.25">
      <c r="A128" s="7"/>
      <c r="B128" s="7"/>
      <c r="C128" s="7"/>
      <c r="D128" s="7"/>
      <c r="E128" s="7"/>
    </row>
    <row r="129" spans="1:5" x14ac:dyDescent="0.25">
      <c r="A129" s="7"/>
      <c r="B129" s="7"/>
      <c r="C129" s="7"/>
      <c r="D129" s="7"/>
      <c r="E129" s="7"/>
    </row>
    <row r="130" spans="1:5" x14ac:dyDescent="0.25">
      <c r="A130" s="7"/>
      <c r="B130" s="7"/>
      <c r="C130" s="7"/>
      <c r="D130" s="7"/>
      <c r="E130" s="7"/>
    </row>
    <row r="131" spans="1:5" x14ac:dyDescent="0.25">
      <c r="A131" s="7"/>
      <c r="B131" s="7"/>
      <c r="C131" s="7"/>
      <c r="D131" s="7"/>
      <c r="E131" s="7"/>
    </row>
    <row r="132" spans="1:5" x14ac:dyDescent="0.25">
      <c r="A132" s="7"/>
      <c r="B132" s="7"/>
      <c r="C132" s="7"/>
      <c r="D132" s="7"/>
      <c r="E132" s="7"/>
    </row>
    <row r="133" spans="1:5" x14ac:dyDescent="0.25">
      <c r="A133" s="7"/>
      <c r="B133" s="7"/>
      <c r="C133" s="7"/>
      <c r="D133" s="7"/>
      <c r="E133" s="7"/>
    </row>
    <row r="134" spans="1:5" x14ac:dyDescent="0.25">
      <c r="A134" s="7"/>
      <c r="B134" s="7"/>
      <c r="C134" s="7"/>
      <c r="D134" s="7"/>
      <c r="E134" s="7"/>
    </row>
    <row r="135" spans="1:5" x14ac:dyDescent="0.25">
      <c r="A135" s="7"/>
      <c r="B135" s="7"/>
      <c r="C135" s="7"/>
      <c r="D135" s="7"/>
      <c r="E135" s="7"/>
    </row>
    <row r="136" spans="1:5" x14ac:dyDescent="0.25">
      <c r="A136" s="7"/>
      <c r="B136" s="7"/>
      <c r="C136" s="7"/>
      <c r="D136" s="7"/>
      <c r="E136" s="7"/>
    </row>
    <row r="137" spans="1:5" x14ac:dyDescent="0.25">
      <c r="A137" s="7"/>
      <c r="B137" s="7"/>
      <c r="C137" s="7"/>
      <c r="D137" s="7"/>
      <c r="E137" s="7"/>
    </row>
    <row r="138" spans="1:5" x14ac:dyDescent="0.25">
      <c r="A138" s="7"/>
      <c r="B138" s="7"/>
      <c r="C138" s="7"/>
      <c r="D138" s="7"/>
      <c r="E138" s="7"/>
    </row>
    <row r="139" spans="1:5" x14ac:dyDescent="0.25">
      <c r="A139" s="7"/>
      <c r="B139" s="7"/>
      <c r="C139" s="7"/>
      <c r="D139" s="7"/>
      <c r="E139" s="7"/>
    </row>
    <row r="140" spans="1:5" x14ac:dyDescent="0.25">
      <c r="A140" s="7"/>
      <c r="B140" s="7"/>
      <c r="C140" s="7"/>
      <c r="D140" s="7"/>
      <c r="E140" s="7"/>
    </row>
    <row r="141" spans="1:5" x14ac:dyDescent="0.25">
      <c r="A141" s="7"/>
      <c r="B141" s="7"/>
      <c r="C141" s="7"/>
      <c r="D141" s="7"/>
      <c r="E141" s="7"/>
    </row>
    <row r="142" spans="1:5" x14ac:dyDescent="0.25">
      <c r="A142" s="7"/>
      <c r="B142" s="7"/>
      <c r="C142" s="7"/>
      <c r="D142" s="7"/>
      <c r="E142" s="7"/>
    </row>
    <row r="143" spans="1:5" x14ac:dyDescent="0.25">
      <c r="A143" s="7"/>
      <c r="B143" s="7"/>
      <c r="C143" s="7"/>
      <c r="D143" s="7"/>
      <c r="E143" s="7"/>
    </row>
    <row r="144" spans="1:5" x14ac:dyDescent="0.25">
      <c r="A144" s="7"/>
      <c r="B144" s="7"/>
      <c r="C144" s="7"/>
      <c r="D144" s="7"/>
      <c r="E144" s="7"/>
    </row>
    <row r="145" spans="1:5" x14ac:dyDescent="0.25">
      <c r="A145" s="7"/>
      <c r="B145" s="7"/>
      <c r="C145" s="7"/>
      <c r="D145" s="7"/>
      <c r="E145" s="7"/>
    </row>
    <row r="146" spans="1:5" x14ac:dyDescent="0.25">
      <c r="A146" s="7"/>
      <c r="B146" s="7"/>
      <c r="C146" s="7"/>
      <c r="D146" s="7"/>
      <c r="E146" s="7"/>
    </row>
    <row r="147" spans="1:5" x14ac:dyDescent="0.25">
      <c r="A147" s="7"/>
      <c r="B147" s="7"/>
      <c r="C147" s="7"/>
      <c r="D147" s="7"/>
      <c r="E147" s="7"/>
    </row>
    <row r="148" spans="1:5" x14ac:dyDescent="0.25">
      <c r="A148" s="7"/>
      <c r="B148" s="7"/>
      <c r="C148" s="7"/>
      <c r="D148" s="7"/>
      <c r="E148" s="7"/>
    </row>
    <row r="149" spans="1:5" x14ac:dyDescent="0.25">
      <c r="A149" s="7"/>
      <c r="B149" s="7"/>
      <c r="C149" s="7"/>
      <c r="D149" s="7"/>
      <c r="E149" s="7"/>
    </row>
    <row r="150" spans="1:5" x14ac:dyDescent="0.25">
      <c r="A150" s="7"/>
      <c r="B150" s="7"/>
      <c r="C150" s="7"/>
      <c r="D150" s="7"/>
      <c r="E150" s="7"/>
    </row>
    <row r="151" spans="1:5" x14ac:dyDescent="0.25">
      <c r="A151" s="7"/>
      <c r="B151" s="7"/>
      <c r="C151" s="7"/>
      <c r="D151" s="7"/>
      <c r="E151" s="7"/>
    </row>
    <row r="152" spans="1:5" x14ac:dyDescent="0.25">
      <c r="A152" s="7"/>
      <c r="B152" s="7"/>
      <c r="C152" s="7"/>
      <c r="D152" s="7"/>
      <c r="E152" s="7"/>
    </row>
    <row r="153" spans="1:5" x14ac:dyDescent="0.25">
      <c r="A153" s="7"/>
      <c r="B153" s="7"/>
      <c r="C153" s="7"/>
      <c r="D153" s="7"/>
      <c r="E153" s="7"/>
    </row>
    <row r="154" spans="1:5" x14ac:dyDescent="0.25">
      <c r="A154" s="7"/>
      <c r="B154" s="7"/>
      <c r="C154" s="7"/>
      <c r="D154" s="7"/>
      <c r="E154" s="7"/>
    </row>
    <row r="155" spans="1:5" x14ac:dyDescent="0.25">
      <c r="A155" s="7"/>
      <c r="B155" s="7"/>
      <c r="C155" s="7"/>
      <c r="D155" s="7"/>
      <c r="E155" s="7"/>
    </row>
    <row r="156" spans="1:5" x14ac:dyDescent="0.25">
      <c r="A156" s="7"/>
      <c r="B156" s="7"/>
      <c r="C156" s="7"/>
      <c r="D156" s="7"/>
      <c r="E156" s="7"/>
    </row>
    <row r="157" spans="1:5" x14ac:dyDescent="0.25">
      <c r="A157" s="7"/>
      <c r="B157" s="7"/>
      <c r="C157" s="7"/>
      <c r="D157" s="7"/>
      <c r="E157" s="7"/>
    </row>
    <row r="158" spans="1:5" x14ac:dyDescent="0.25">
      <c r="A158" s="7"/>
      <c r="B158" s="7"/>
      <c r="C158" s="7"/>
      <c r="D158" s="7"/>
      <c r="E158" s="7"/>
    </row>
    <row r="159" spans="1:5" x14ac:dyDescent="0.25">
      <c r="A159" s="7"/>
      <c r="B159" s="7"/>
      <c r="C159" s="7"/>
      <c r="D159" s="7"/>
      <c r="E159" s="7"/>
    </row>
    <row r="160" spans="1:5" x14ac:dyDescent="0.25">
      <c r="A160" s="7"/>
      <c r="B160" s="7"/>
      <c r="C160" s="7"/>
      <c r="D160" s="7"/>
      <c r="E160" s="7"/>
    </row>
    <row r="161" spans="1:5" x14ac:dyDescent="0.25">
      <c r="A161" s="7"/>
      <c r="B161" s="7"/>
      <c r="C161" s="7"/>
      <c r="D161" s="7"/>
      <c r="E161" s="7"/>
    </row>
    <row r="162" spans="1:5" x14ac:dyDescent="0.25">
      <c r="A162" s="7"/>
      <c r="B162" s="7"/>
      <c r="C162" s="7"/>
      <c r="D162" s="7"/>
      <c r="E162" s="7"/>
    </row>
    <row r="163" spans="1:5" x14ac:dyDescent="0.25">
      <c r="A163" s="7"/>
      <c r="B163" s="7"/>
      <c r="C163" s="7"/>
      <c r="D163" s="7"/>
      <c r="E163" s="7"/>
    </row>
    <row r="164" spans="1:5" x14ac:dyDescent="0.25">
      <c r="A164" s="7"/>
      <c r="B164" s="7"/>
      <c r="C164" s="7"/>
      <c r="D164" s="7"/>
      <c r="E164" s="7"/>
    </row>
    <row r="165" spans="1:5" x14ac:dyDescent="0.25">
      <c r="A165" s="7"/>
      <c r="B165" s="7"/>
      <c r="C165" s="7"/>
      <c r="D165" s="7"/>
      <c r="E165" s="7"/>
    </row>
    <row r="166" spans="1:5" x14ac:dyDescent="0.25">
      <c r="A166" s="7"/>
      <c r="B166" s="7"/>
      <c r="C166" s="7"/>
      <c r="D166" s="7"/>
      <c r="E166" s="7"/>
    </row>
    <row r="167" spans="1:5" x14ac:dyDescent="0.25">
      <c r="A167" s="7"/>
      <c r="B167" s="7"/>
      <c r="C167" s="7"/>
      <c r="D167" s="7"/>
      <c r="E167" s="7"/>
    </row>
    <row r="168" spans="1:5" x14ac:dyDescent="0.25">
      <c r="A168" s="7"/>
      <c r="B168" s="7"/>
      <c r="C168" s="7"/>
      <c r="D168" s="7"/>
      <c r="E168" s="7"/>
    </row>
    <row r="169" spans="1:5" x14ac:dyDescent="0.25">
      <c r="A169" s="7"/>
      <c r="B169" s="7"/>
      <c r="C169" s="7"/>
      <c r="D169" s="7"/>
      <c r="E169" s="7"/>
    </row>
    <row r="170" spans="1:5" x14ac:dyDescent="0.25">
      <c r="A170" s="7"/>
      <c r="B170" s="7"/>
      <c r="C170" s="7"/>
      <c r="D170" s="7"/>
      <c r="E170" s="7"/>
    </row>
    <row r="171" spans="1:5" x14ac:dyDescent="0.25">
      <c r="A171" s="7"/>
      <c r="B171" s="7"/>
      <c r="C171" s="7"/>
      <c r="D171" s="7"/>
      <c r="E171" s="7"/>
    </row>
    <row r="172" spans="1:5" x14ac:dyDescent="0.25">
      <c r="A172" s="7"/>
      <c r="B172" s="7"/>
      <c r="C172" s="7"/>
      <c r="D172" s="7"/>
      <c r="E172" s="7"/>
    </row>
    <row r="173" spans="1:5" x14ac:dyDescent="0.25">
      <c r="A173" s="7"/>
      <c r="B173" s="7"/>
      <c r="C173" s="7"/>
      <c r="D173" s="7"/>
      <c r="E173" s="7"/>
    </row>
    <row r="174" spans="1:5" x14ac:dyDescent="0.25">
      <c r="A174" s="7"/>
      <c r="B174" s="7"/>
      <c r="C174" s="7"/>
      <c r="D174" s="7"/>
      <c r="E174" s="7"/>
    </row>
    <row r="175" spans="1:5" x14ac:dyDescent="0.25">
      <c r="A175" s="7"/>
      <c r="B175" s="7"/>
      <c r="C175" s="7"/>
      <c r="D175" s="7"/>
      <c r="E175" s="7"/>
    </row>
    <row r="176" spans="1:5" x14ac:dyDescent="0.25">
      <c r="A176" s="7"/>
      <c r="B176" s="7"/>
      <c r="C176" s="7"/>
      <c r="D176" s="7"/>
      <c r="E176" s="7"/>
    </row>
    <row r="177" spans="1:5" x14ac:dyDescent="0.25">
      <c r="A177" s="7"/>
      <c r="B177" s="7"/>
      <c r="C177" s="7"/>
      <c r="D177" s="7"/>
      <c r="E177" s="7"/>
    </row>
    <row r="178" spans="1:5" x14ac:dyDescent="0.25">
      <c r="A178" s="7"/>
      <c r="B178" s="7"/>
      <c r="C178" s="7"/>
      <c r="D178" s="7"/>
      <c r="E178" s="7"/>
    </row>
    <row r="179" spans="1:5" x14ac:dyDescent="0.25">
      <c r="A179" s="7"/>
      <c r="B179" s="7"/>
      <c r="C179" s="7"/>
      <c r="D179" s="7"/>
      <c r="E179" s="7"/>
    </row>
    <row r="180" spans="1:5" x14ac:dyDescent="0.25">
      <c r="A180" s="7"/>
      <c r="B180" s="7"/>
      <c r="C180" s="7"/>
      <c r="D180" s="7"/>
      <c r="E180" s="7"/>
    </row>
    <row r="181" spans="1:5" x14ac:dyDescent="0.25">
      <c r="A181" s="7"/>
      <c r="B181" s="7"/>
      <c r="C181" s="7"/>
      <c r="D181" s="7"/>
      <c r="E181" s="7"/>
    </row>
    <row r="182" spans="1:5" x14ac:dyDescent="0.25">
      <c r="A182" s="7"/>
      <c r="B182" s="7"/>
      <c r="C182" s="7"/>
      <c r="D182" s="7"/>
      <c r="E182" s="7"/>
    </row>
    <row r="183" spans="1:5" x14ac:dyDescent="0.25">
      <c r="A183" s="7"/>
      <c r="B183" s="7"/>
      <c r="C183" s="7"/>
      <c r="D183" s="7"/>
      <c r="E183" s="7"/>
    </row>
    <row r="184" spans="1:5" x14ac:dyDescent="0.25">
      <c r="A184" s="7"/>
      <c r="B184" s="7"/>
      <c r="C184" s="7"/>
      <c r="D184" s="7"/>
      <c r="E184" s="7"/>
    </row>
    <row r="185" spans="1:5" x14ac:dyDescent="0.25">
      <c r="A185" s="7"/>
      <c r="B185" s="7"/>
      <c r="C185" s="7"/>
      <c r="D185" s="7"/>
      <c r="E185" s="7"/>
    </row>
    <row r="186" spans="1:5" x14ac:dyDescent="0.25">
      <c r="A186" s="7"/>
      <c r="B186" s="7"/>
      <c r="C186" s="7"/>
      <c r="D186" s="7"/>
      <c r="E186" s="7"/>
    </row>
    <row r="187" spans="1:5" x14ac:dyDescent="0.25">
      <c r="A187" s="7"/>
      <c r="B187" s="7"/>
      <c r="C187" s="7"/>
      <c r="D187" s="7"/>
      <c r="E187" s="7"/>
    </row>
    <row r="188" spans="1:5" x14ac:dyDescent="0.25">
      <c r="A188" s="7"/>
      <c r="B188" s="7"/>
      <c r="C188" s="7"/>
      <c r="D188" s="7"/>
      <c r="E188" s="7"/>
    </row>
    <row r="189" spans="1:5" x14ac:dyDescent="0.25">
      <c r="A189" s="7"/>
      <c r="B189" s="7"/>
      <c r="C189" s="7"/>
      <c r="D189" s="7"/>
      <c r="E189" s="7"/>
    </row>
    <row r="190" spans="1:5" x14ac:dyDescent="0.25">
      <c r="A190" s="7"/>
      <c r="B190" s="7"/>
      <c r="C190" s="7"/>
      <c r="D190" s="7"/>
      <c r="E190" s="7"/>
    </row>
    <row r="191" spans="1:5" x14ac:dyDescent="0.25">
      <c r="A191" s="7"/>
      <c r="B191" s="7"/>
      <c r="C191" s="7"/>
      <c r="D191" s="7"/>
      <c r="E191" s="7"/>
    </row>
    <row r="192" spans="1:5" x14ac:dyDescent="0.25">
      <c r="A192" s="7"/>
      <c r="B192" s="7"/>
      <c r="C192" s="7"/>
      <c r="D192" s="7"/>
      <c r="E192" s="7"/>
    </row>
    <row r="193" spans="1:5" x14ac:dyDescent="0.25">
      <c r="A193" s="7"/>
      <c r="B193" s="7"/>
      <c r="C193" s="7"/>
      <c r="D193" s="7"/>
      <c r="E193" s="7"/>
    </row>
    <row r="194" spans="1:5" x14ac:dyDescent="0.25">
      <c r="A194" s="7"/>
      <c r="B194" s="7"/>
      <c r="C194" s="7"/>
      <c r="D194" s="7"/>
      <c r="E194" s="7"/>
    </row>
    <row r="195" spans="1:5" x14ac:dyDescent="0.25">
      <c r="A195" s="7"/>
      <c r="B195" s="7"/>
      <c r="C195" s="7"/>
      <c r="D195" s="7"/>
      <c r="E195" s="7"/>
    </row>
    <row r="196" spans="1:5" x14ac:dyDescent="0.25">
      <c r="A196" s="7"/>
      <c r="B196" s="7"/>
      <c r="C196" s="7"/>
      <c r="D196" s="7"/>
      <c r="E196" s="7"/>
    </row>
    <row r="197" spans="1:5" x14ac:dyDescent="0.25">
      <c r="A197" s="7"/>
      <c r="B197" s="7"/>
      <c r="C197" s="7"/>
      <c r="D197" s="7"/>
      <c r="E197" s="7"/>
    </row>
    <row r="198" spans="1:5" x14ac:dyDescent="0.25">
      <c r="A198" s="7"/>
      <c r="B198" s="7"/>
      <c r="C198" s="7"/>
      <c r="D198" s="7"/>
      <c r="E198" s="7"/>
    </row>
    <row r="199" spans="1:5" x14ac:dyDescent="0.25">
      <c r="A199" s="7"/>
      <c r="B199" s="7"/>
      <c r="C199" s="7"/>
      <c r="D199" s="7"/>
      <c r="E199" s="7"/>
    </row>
    <row r="200" spans="1:5" x14ac:dyDescent="0.25">
      <c r="A200" s="7"/>
      <c r="B200" s="7"/>
      <c r="C200" s="7"/>
      <c r="D200" s="7"/>
      <c r="E200" s="7"/>
    </row>
    <row r="201" spans="1:5" x14ac:dyDescent="0.25">
      <c r="A201" s="7"/>
      <c r="B201" s="7"/>
      <c r="C201" s="7"/>
      <c r="D201" s="7"/>
      <c r="E201" s="7"/>
    </row>
    <row r="202" spans="1:5" x14ac:dyDescent="0.25">
      <c r="A202" s="7"/>
      <c r="B202" s="7"/>
      <c r="C202" s="7"/>
      <c r="D202" s="7"/>
      <c r="E202" s="7"/>
    </row>
    <row r="203" spans="1:5" x14ac:dyDescent="0.25">
      <c r="A203" s="7"/>
      <c r="B203" s="7"/>
      <c r="C203" s="7"/>
      <c r="D203" s="7"/>
      <c r="E203" s="7"/>
    </row>
    <row r="204" spans="1:5" x14ac:dyDescent="0.25">
      <c r="A204" s="7"/>
      <c r="B204" s="7"/>
      <c r="C204" s="7"/>
      <c r="D204" s="7"/>
      <c r="E204" s="7"/>
    </row>
    <row r="205" spans="1:5" x14ac:dyDescent="0.25">
      <c r="A205" s="7"/>
      <c r="B205" s="7"/>
      <c r="C205" s="7"/>
      <c r="D205" s="7"/>
      <c r="E205" s="7"/>
    </row>
    <row r="206" spans="1:5" x14ac:dyDescent="0.25">
      <c r="A206" s="7"/>
      <c r="B206" s="7"/>
      <c r="C206" s="7"/>
      <c r="D206" s="7"/>
      <c r="E206" s="7"/>
    </row>
    <row r="207" spans="1:5" x14ac:dyDescent="0.25">
      <c r="A207" s="7"/>
      <c r="B207" s="7"/>
      <c r="C207" s="7"/>
      <c r="D207" s="7"/>
      <c r="E207" s="7"/>
    </row>
    <row r="208" spans="1:5" x14ac:dyDescent="0.25">
      <c r="A208" s="7"/>
      <c r="B208" s="7"/>
      <c r="C208" s="7"/>
      <c r="D208" s="7"/>
      <c r="E208" s="7"/>
    </row>
    <row r="209" spans="1:5" x14ac:dyDescent="0.25">
      <c r="A209" s="7"/>
      <c r="B209" s="7"/>
      <c r="C209" s="7"/>
      <c r="D209" s="7"/>
      <c r="E209" s="7"/>
    </row>
    <row r="210" spans="1:5" x14ac:dyDescent="0.25">
      <c r="A210" s="7"/>
      <c r="B210" s="7"/>
      <c r="C210" s="7"/>
      <c r="D210" s="7"/>
      <c r="E210" s="7"/>
    </row>
    <row r="211" spans="1:5" x14ac:dyDescent="0.25">
      <c r="A211" s="7"/>
      <c r="B211" s="7"/>
      <c r="C211" s="7"/>
      <c r="D211" s="7"/>
      <c r="E211" s="7"/>
    </row>
    <row r="212" spans="1:5" x14ac:dyDescent="0.25">
      <c r="A212" s="7"/>
      <c r="B212" s="7"/>
      <c r="C212" s="7"/>
      <c r="D212" s="7"/>
      <c r="E212" s="7"/>
    </row>
    <row r="213" spans="1:5" x14ac:dyDescent="0.25">
      <c r="A213" s="7"/>
      <c r="B213" s="7"/>
      <c r="C213" s="7"/>
      <c r="D213" s="7"/>
      <c r="E213" s="7"/>
    </row>
    <row r="214" spans="1:5" x14ac:dyDescent="0.25">
      <c r="A214" s="7"/>
      <c r="B214" s="7"/>
      <c r="C214" s="7"/>
      <c r="D214" s="7"/>
      <c r="E214" s="7"/>
    </row>
    <row r="215" spans="1:5" x14ac:dyDescent="0.25">
      <c r="A215" s="7"/>
      <c r="B215" s="7"/>
      <c r="C215" s="7"/>
      <c r="D215" s="7"/>
      <c r="E215" s="7"/>
    </row>
    <row r="216" spans="1:5" x14ac:dyDescent="0.25">
      <c r="A216" s="7"/>
      <c r="B216" s="7"/>
      <c r="C216" s="7"/>
      <c r="D216" s="7"/>
      <c r="E216" s="7"/>
    </row>
    <row r="217" spans="1:5" x14ac:dyDescent="0.25">
      <c r="A217" s="7"/>
      <c r="B217" s="7"/>
      <c r="C217" s="7"/>
      <c r="D217" s="7"/>
      <c r="E217" s="7"/>
    </row>
    <row r="218" spans="1:5" x14ac:dyDescent="0.25">
      <c r="A218" s="7"/>
      <c r="B218" s="7"/>
      <c r="C218" s="7"/>
      <c r="D218" s="7"/>
      <c r="E218" s="7"/>
    </row>
    <row r="219" spans="1:5" x14ac:dyDescent="0.25">
      <c r="A219" s="7"/>
      <c r="B219" s="7"/>
      <c r="C219" s="7"/>
      <c r="D219" s="7"/>
      <c r="E219" s="7"/>
    </row>
    <row r="220" spans="1:5" x14ac:dyDescent="0.25">
      <c r="A220" s="7"/>
      <c r="B220" s="7"/>
      <c r="C220" s="7"/>
      <c r="D220" s="7"/>
      <c r="E220" s="7"/>
    </row>
    <row r="221" spans="1:5" x14ac:dyDescent="0.25">
      <c r="A221" s="7"/>
      <c r="B221" s="7"/>
      <c r="C221" s="7"/>
      <c r="D221" s="7"/>
      <c r="E221" s="7"/>
    </row>
    <row r="222" spans="1:5" x14ac:dyDescent="0.25">
      <c r="A222" s="7"/>
      <c r="B222" s="7"/>
      <c r="C222" s="7"/>
      <c r="D222" s="7"/>
      <c r="E222" s="7"/>
    </row>
    <row r="223" spans="1:5" x14ac:dyDescent="0.25">
      <c r="A223" s="7"/>
      <c r="B223" s="7"/>
      <c r="C223" s="7"/>
      <c r="D223" s="7"/>
      <c r="E223" s="7"/>
    </row>
    <row r="224" spans="1:5" x14ac:dyDescent="0.25">
      <c r="A224" s="7"/>
      <c r="B224" s="7"/>
      <c r="C224" s="7"/>
      <c r="D224" s="7"/>
      <c r="E224" s="7"/>
    </row>
    <row r="225" spans="1:5" x14ac:dyDescent="0.25">
      <c r="A225" s="7"/>
      <c r="B225" s="7"/>
      <c r="C225" s="7"/>
      <c r="D225" s="7"/>
      <c r="E225" s="7"/>
    </row>
    <row r="226" spans="1:5" x14ac:dyDescent="0.25">
      <c r="A226" s="7"/>
      <c r="B226" s="7"/>
      <c r="C226" s="7"/>
      <c r="D226" s="7"/>
      <c r="E226" s="7"/>
    </row>
    <row r="227" spans="1:5" x14ac:dyDescent="0.25">
      <c r="A227" s="7"/>
      <c r="B227" s="7"/>
      <c r="C227" s="7"/>
      <c r="D227" s="7"/>
      <c r="E227" s="7"/>
    </row>
    <row r="228" spans="1:5" x14ac:dyDescent="0.25">
      <c r="A228" s="7"/>
      <c r="B228" s="7"/>
      <c r="C228" s="7"/>
      <c r="D228" s="7"/>
      <c r="E228" s="7"/>
    </row>
    <row r="229" spans="1:5" x14ac:dyDescent="0.25">
      <c r="A229" s="7"/>
      <c r="B229" s="7"/>
      <c r="C229" s="7"/>
      <c r="D229" s="7"/>
      <c r="E229" s="7"/>
    </row>
    <row r="230" spans="1:5" x14ac:dyDescent="0.25">
      <c r="A230" s="7"/>
      <c r="B230" s="7"/>
      <c r="C230" s="7"/>
      <c r="D230" s="7"/>
      <c r="E230" s="7"/>
    </row>
    <row r="231" spans="1:5" x14ac:dyDescent="0.25">
      <c r="A231" s="7"/>
      <c r="B231" s="7"/>
      <c r="C231" s="7"/>
      <c r="D231" s="7"/>
      <c r="E231" s="7"/>
    </row>
    <row r="232" spans="1:5" x14ac:dyDescent="0.25">
      <c r="A232" s="7"/>
      <c r="B232" s="7"/>
      <c r="C232" s="7"/>
      <c r="D232" s="7"/>
      <c r="E232" s="7"/>
    </row>
    <row r="233" spans="1:5" x14ac:dyDescent="0.25">
      <c r="A233" s="7"/>
      <c r="B233" s="7"/>
      <c r="C233" s="7"/>
      <c r="D233" s="7"/>
      <c r="E233" s="7"/>
    </row>
    <row r="234" spans="1:5" x14ac:dyDescent="0.25">
      <c r="A234" s="7"/>
      <c r="B234" s="7"/>
      <c r="C234" s="7"/>
      <c r="D234" s="7"/>
      <c r="E234" s="7"/>
    </row>
    <row r="235" spans="1:5" x14ac:dyDescent="0.25">
      <c r="A235" s="7"/>
      <c r="B235" s="7"/>
      <c r="C235" s="7"/>
      <c r="D235" s="7"/>
      <c r="E235" s="7"/>
    </row>
    <row r="236" spans="1:5" x14ac:dyDescent="0.25">
      <c r="A236" s="7"/>
      <c r="B236" s="7"/>
      <c r="C236" s="7"/>
      <c r="D236" s="7"/>
      <c r="E236" s="7"/>
    </row>
    <row r="237" spans="1:5" x14ac:dyDescent="0.25">
      <c r="A237" s="7"/>
      <c r="B237" s="7"/>
      <c r="C237" s="7"/>
      <c r="D237" s="7"/>
      <c r="E237" s="7"/>
    </row>
    <row r="238" spans="1:5" x14ac:dyDescent="0.25">
      <c r="A238" s="7"/>
      <c r="B238" s="7"/>
      <c r="C238" s="7"/>
      <c r="D238" s="7"/>
      <c r="E238" s="7"/>
    </row>
    <row r="239" spans="1:5" x14ac:dyDescent="0.25">
      <c r="A239" s="7"/>
      <c r="B239" s="7"/>
      <c r="C239" s="7"/>
      <c r="D239" s="7"/>
      <c r="E239" s="7"/>
    </row>
    <row r="240" spans="1:5" x14ac:dyDescent="0.25">
      <c r="A240" s="7"/>
      <c r="B240" s="7"/>
      <c r="C240" s="7"/>
      <c r="D240" s="7"/>
      <c r="E240" s="7"/>
    </row>
    <row r="241" spans="1:5" x14ac:dyDescent="0.25">
      <c r="A241" s="7"/>
      <c r="B241" s="7"/>
      <c r="C241" s="7"/>
      <c r="D241" s="7"/>
      <c r="E241" s="7"/>
    </row>
    <row r="242" spans="1:5" x14ac:dyDescent="0.25">
      <c r="A242" s="7"/>
      <c r="B242" s="7"/>
      <c r="C242" s="7"/>
      <c r="D242" s="7"/>
      <c r="E242" s="7"/>
    </row>
    <row r="243" spans="1:5" x14ac:dyDescent="0.25">
      <c r="A243" s="7"/>
      <c r="B243" s="7"/>
      <c r="C243" s="7"/>
      <c r="D243" s="7"/>
      <c r="E243" s="7"/>
    </row>
    <row r="244" spans="1:5" x14ac:dyDescent="0.25">
      <c r="A244" s="7"/>
      <c r="B244" s="7"/>
      <c r="C244" s="7"/>
      <c r="D244" s="7"/>
      <c r="E244" s="7"/>
    </row>
    <row r="245" spans="1:5" x14ac:dyDescent="0.25">
      <c r="A245" s="7"/>
      <c r="B245" s="7"/>
      <c r="C245" s="7"/>
      <c r="D245" s="7"/>
      <c r="E245" s="7"/>
    </row>
    <row r="246" spans="1:5" x14ac:dyDescent="0.25">
      <c r="A246" s="7"/>
      <c r="B246" s="7"/>
      <c r="C246" s="7"/>
      <c r="D246" s="7"/>
      <c r="E246" s="7"/>
    </row>
    <row r="247" spans="1:5" x14ac:dyDescent="0.25">
      <c r="A247" s="7"/>
      <c r="B247" s="7"/>
      <c r="C247" s="7"/>
      <c r="D247" s="7"/>
      <c r="E247" s="7"/>
    </row>
    <row r="248" spans="1:5" x14ac:dyDescent="0.25">
      <c r="A248" s="7"/>
      <c r="B248" s="7"/>
      <c r="C248" s="7"/>
      <c r="D248" s="7"/>
      <c r="E248" s="7"/>
    </row>
    <row r="249" spans="1:5" x14ac:dyDescent="0.25">
      <c r="A249" s="7"/>
      <c r="B249" s="7"/>
      <c r="C249" s="7"/>
      <c r="D249" s="7"/>
      <c r="E249" s="7"/>
    </row>
    <row r="250" spans="1:5" x14ac:dyDescent="0.25">
      <c r="A250" s="7"/>
      <c r="B250" s="7"/>
      <c r="C250" s="7"/>
      <c r="D250" s="7"/>
      <c r="E250" s="7"/>
    </row>
    <row r="251" spans="1:5" x14ac:dyDescent="0.25">
      <c r="A251" s="7"/>
      <c r="B251" s="7"/>
      <c r="C251" s="7"/>
      <c r="D251" s="7"/>
      <c r="E251" s="7"/>
    </row>
    <row r="252" spans="1:5" x14ac:dyDescent="0.25">
      <c r="A252" s="7"/>
      <c r="B252" s="7"/>
      <c r="C252" s="7"/>
      <c r="D252" s="7"/>
      <c r="E252" s="7"/>
    </row>
    <row r="253" spans="1:5" x14ac:dyDescent="0.25">
      <c r="A253" s="7"/>
      <c r="B253" s="7"/>
      <c r="C253" s="7"/>
      <c r="D253" s="7"/>
      <c r="E253" s="7"/>
    </row>
    <row r="254" spans="1:5" x14ac:dyDescent="0.25">
      <c r="A254" s="7"/>
      <c r="B254" s="7"/>
      <c r="C254" s="7"/>
      <c r="D254" s="7"/>
      <c r="E254" s="7"/>
    </row>
    <row r="255" spans="1:5" x14ac:dyDescent="0.25">
      <c r="A255" s="7"/>
      <c r="B255" s="7"/>
      <c r="C255" s="7"/>
      <c r="D255" s="7"/>
      <c r="E255" s="7"/>
    </row>
    <row r="256" spans="1:5" x14ac:dyDescent="0.25">
      <c r="A256" s="7"/>
      <c r="B256" s="7"/>
      <c r="C256" s="7"/>
      <c r="D256" s="7"/>
      <c r="E256" s="7"/>
    </row>
    <row r="257" spans="1:5" x14ac:dyDescent="0.25">
      <c r="A257" s="7"/>
      <c r="B257" s="7"/>
      <c r="C257" s="7"/>
      <c r="D257" s="7"/>
      <c r="E257" s="7"/>
    </row>
    <row r="258" spans="1:5" x14ac:dyDescent="0.25">
      <c r="A258" s="7"/>
      <c r="B258" s="7"/>
      <c r="C258" s="7"/>
      <c r="D258" s="7"/>
      <c r="E258" s="7"/>
    </row>
    <row r="259" spans="1:5" x14ac:dyDescent="0.25">
      <c r="A259" s="7"/>
      <c r="B259" s="7"/>
      <c r="C259" s="7"/>
      <c r="D259" s="7"/>
      <c r="E259" s="7"/>
    </row>
    <row r="260" spans="1:5" x14ac:dyDescent="0.25">
      <c r="A260" s="7"/>
      <c r="B260" s="7"/>
      <c r="C260" s="7"/>
      <c r="D260" s="7"/>
      <c r="E260" s="7"/>
    </row>
    <row r="261" spans="1:5" x14ac:dyDescent="0.25">
      <c r="A261" s="7"/>
      <c r="B261" s="7"/>
      <c r="C261" s="7"/>
      <c r="D261" s="7"/>
      <c r="E261" s="7"/>
    </row>
    <row r="262" spans="1:5" x14ac:dyDescent="0.25">
      <c r="A262" s="7"/>
      <c r="B262" s="7"/>
      <c r="C262" s="7"/>
      <c r="D262" s="7"/>
      <c r="E262" s="7"/>
    </row>
    <row r="263" spans="1:5" x14ac:dyDescent="0.25">
      <c r="A263" s="7"/>
      <c r="B263" s="7"/>
      <c r="C263" s="7"/>
      <c r="D263" s="7"/>
      <c r="E263" s="7"/>
    </row>
    <row r="264" spans="1:5" x14ac:dyDescent="0.25">
      <c r="A264" s="7"/>
      <c r="B264" s="7"/>
      <c r="C264" s="7"/>
      <c r="D264" s="7"/>
      <c r="E264" s="7"/>
    </row>
    <row r="265" spans="1:5" x14ac:dyDescent="0.25">
      <c r="A265" s="7"/>
      <c r="B265" s="7"/>
      <c r="C265" s="7"/>
      <c r="D265" s="7"/>
      <c r="E265" s="7"/>
    </row>
    <row r="266" spans="1:5" x14ac:dyDescent="0.25">
      <c r="A266" s="7"/>
      <c r="B266" s="7"/>
      <c r="C266" s="7"/>
      <c r="D266" s="7"/>
      <c r="E266" s="7"/>
    </row>
    <row r="267" spans="1:5" x14ac:dyDescent="0.25">
      <c r="A267" s="7"/>
      <c r="B267" s="7"/>
      <c r="C267" s="7"/>
      <c r="D267" s="7"/>
      <c r="E267" s="7"/>
    </row>
    <row r="268" spans="1:5" x14ac:dyDescent="0.25">
      <c r="A268" s="7"/>
      <c r="B268" s="7"/>
      <c r="C268" s="7"/>
      <c r="D268" s="7"/>
      <c r="E268" s="7"/>
    </row>
    <row r="269" spans="1:5" x14ac:dyDescent="0.25">
      <c r="A269" s="7"/>
      <c r="B269" s="7"/>
      <c r="C269" s="7"/>
      <c r="D269" s="7"/>
      <c r="E269" s="7"/>
    </row>
    <row r="270" spans="1:5" x14ac:dyDescent="0.25">
      <c r="A270" s="7"/>
      <c r="B270" s="7"/>
      <c r="C270" s="7"/>
      <c r="D270" s="7"/>
      <c r="E270" s="7"/>
    </row>
    <row r="271" spans="1:5" x14ac:dyDescent="0.25">
      <c r="A271" s="7"/>
      <c r="B271" s="7"/>
      <c r="C271" s="7"/>
      <c r="D271" s="7"/>
      <c r="E271" s="7"/>
    </row>
    <row r="272" spans="1:5" x14ac:dyDescent="0.25">
      <c r="A272" s="7"/>
      <c r="B272" s="7"/>
      <c r="C272" s="7"/>
      <c r="D272" s="7"/>
      <c r="E272" s="7"/>
    </row>
    <row r="273" spans="1:5" x14ac:dyDescent="0.25">
      <c r="A273" s="7"/>
      <c r="B273" s="7"/>
      <c r="C273" s="7"/>
      <c r="D273" s="7"/>
      <c r="E273" s="7"/>
    </row>
    <row r="274" spans="1:5" x14ac:dyDescent="0.25">
      <c r="A274" s="7"/>
      <c r="B274" s="7"/>
      <c r="C274" s="7"/>
      <c r="D274" s="7"/>
      <c r="E274" s="7"/>
    </row>
    <row r="275" spans="1:5" x14ac:dyDescent="0.25">
      <c r="A275" s="7"/>
      <c r="B275" s="7"/>
      <c r="C275" s="7"/>
      <c r="D275" s="7"/>
      <c r="E275" s="7"/>
    </row>
    <row r="276" spans="1:5" x14ac:dyDescent="0.25">
      <c r="A276" s="7"/>
      <c r="B276" s="7"/>
      <c r="C276" s="7"/>
      <c r="D276" s="7"/>
      <c r="E276" s="7"/>
    </row>
    <row r="277" spans="1:5" x14ac:dyDescent="0.25">
      <c r="A277" s="7"/>
      <c r="B277" s="7"/>
      <c r="C277" s="7"/>
      <c r="D277" s="7"/>
      <c r="E277" s="7"/>
    </row>
    <row r="278" spans="1:5" x14ac:dyDescent="0.25">
      <c r="A278" s="7"/>
      <c r="B278" s="7"/>
      <c r="C278" s="7"/>
      <c r="D278" s="7"/>
      <c r="E278" s="7"/>
    </row>
    <row r="279" spans="1:5" x14ac:dyDescent="0.25">
      <c r="A279" s="7"/>
      <c r="B279" s="7"/>
      <c r="C279" s="7"/>
      <c r="D279" s="7"/>
      <c r="E279" s="7"/>
    </row>
    <row r="280" spans="1:5" x14ac:dyDescent="0.25">
      <c r="A280" s="7"/>
      <c r="B280" s="7"/>
      <c r="C280" s="7"/>
      <c r="D280" s="7"/>
      <c r="E280" s="7"/>
    </row>
    <row r="281" spans="1:5" x14ac:dyDescent="0.25">
      <c r="A281" s="7"/>
      <c r="B281" s="7"/>
      <c r="C281" s="7"/>
      <c r="D281" s="7"/>
      <c r="E281" s="7"/>
    </row>
    <row r="282" spans="1:5" x14ac:dyDescent="0.25">
      <c r="A282" s="7"/>
      <c r="B282" s="7"/>
      <c r="C282" s="7"/>
      <c r="D282" s="7"/>
      <c r="E282" s="7"/>
    </row>
    <row r="283" spans="1:5" x14ac:dyDescent="0.25">
      <c r="A283" s="7"/>
      <c r="B283" s="7"/>
      <c r="C283" s="7"/>
      <c r="D283" s="7"/>
      <c r="E283" s="7"/>
    </row>
    <row r="284" spans="1:5" x14ac:dyDescent="0.25">
      <c r="A284" s="7"/>
      <c r="B284" s="7"/>
      <c r="C284" s="7"/>
      <c r="D284" s="7"/>
      <c r="E284" s="7"/>
    </row>
    <row r="285" spans="1:5" x14ac:dyDescent="0.25">
      <c r="A285" s="7"/>
      <c r="B285" s="7"/>
      <c r="C285" s="7"/>
      <c r="D285" s="7"/>
      <c r="E285" s="7"/>
    </row>
    <row r="286" spans="1:5" x14ac:dyDescent="0.25">
      <c r="A286" s="7"/>
      <c r="B286" s="7"/>
      <c r="C286" s="7"/>
      <c r="D286" s="7"/>
      <c r="E286" s="7"/>
    </row>
    <row r="287" spans="1:5" x14ac:dyDescent="0.25">
      <c r="A287" s="7"/>
      <c r="B287" s="7"/>
      <c r="C287" s="7"/>
      <c r="D287" s="7"/>
      <c r="E287" s="7"/>
    </row>
    <row r="288" spans="1:5" x14ac:dyDescent="0.25">
      <c r="A288" s="7"/>
      <c r="B288" s="7"/>
      <c r="C288" s="7"/>
      <c r="D288" s="7"/>
      <c r="E288" s="7"/>
    </row>
    <row r="289" spans="1:5" x14ac:dyDescent="0.25">
      <c r="A289" s="7"/>
      <c r="B289" s="7"/>
      <c r="C289" s="7"/>
      <c r="D289" s="7"/>
      <c r="E289" s="7"/>
    </row>
    <row r="290" spans="1:5" x14ac:dyDescent="0.25">
      <c r="A290" s="7"/>
      <c r="B290" s="7"/>
      <c r="C290" s="7"/>
      <c r="D290" s="7"/>
      <c r="E290" s="7"/>
    </row>
    <row r="291" spans="1:5" x14ac:dyDescent="0.25">
      <c r="A291" s="7"/>
      <c r="B291" s="7"/>
      <c r="C291" s="7"/>
      <c r="D291" s="7"/>
      <c r="E291" s="7"/>
    </row>
    <row r="292" spans="1:5" x14ac:dyDescent="0.25">
      <c r="A292" s="7"/>
      <c r="B292" s="7"/>
      <c r="C292" s="7"/>
      <c r="D292" s="7"/>
      <c r="E292" s="7"/>
    </row>
    <row r="293" spans="1:5" x14ac:dyDescent="0.25">
      <c r="A293" s="7"/>
      <c r="B293" s="7"/>
      <c r="C293" s="7"/>
      <c r="D293" s="7"/>
      <c r="E293" s="7"/>
    </row>
    <row r="294" spans="1:5" x14ac:dyDescent="0.25">
      <c r="A294" s="7"/>
      <c r="B294" s="7"/>
      <c r="C294" s="7"/>
      <c r="D294" s="7"/>
      <c r="E294" s="7"/>
    </row>
    <row r="295" spans="1:5" x14ac:dyDescent="0.25">
      <c r="A295" s="7"/>
      <c r="B295" s="7"/>
      <c r="C295" s="7"/>
      <c r="D295" s="7"/>
      <c r="E295" s="7"/>
    </row>
    <row r="296" spans="1:5" x14ac:dyDescent="0.25">
      <c r="A296" s="7"/>
      <c r="B296" s="7"/>
      <c r="C296" s="7"/>
      <c r="D296" s="7"/>
      <c r="E296" s="7"/>
    </row>
    <row r="297" spans="1:5" x14ac:dyDescent="0.25">
      <c r="A297" s="7"/>
      <c r="B297" s="7"/>
      <c r="C297" s="7"/>
      <c r="D297" s="7"/>
      <c r="E297" s="7"/>
    </row>
    <row r="298" spans="1:5" x14ac:dyDescent="0.25">
      <c r="A298" s="7"/>
      <c r="B298" s="7"/>
      <c r="C298" s="7"/>
      <c r="D298" s="7"/>
      <c r="E298" s="7"/>
    </row>
    <row r="299" spans="1:5" x14ac:dyDescent="0.25">
      <c r="A299" s="7"/>
      <c r="B299" s="7"/>
      <c r="C299" s="7"/>
      <c r="D299" s="7"/>
      <c r="E299" s="7"/>
    </row>
    <row r="300" spans="1:5" x14ac:dyDescent="0.25">
      <c r="A300" s="7"/>
      <c r="B300" s="7"/>
      <c r="C300" s="7"/>
      <c r="D300" s="7"/>
      <c r="E300" s="7"/>
    </row>
    <row r="301" spans="1:5" x14ac:dyDescent="0.25">
      <c r="A301" s="7"/>
      <c r="B301" s="7"/>
      <c r="C301" s="7"/>
      <c r="D301" s="7"/>
      <c r="E301" s="7"/>
    </row>
    <row r="302" spans="1:5" x14ac:dyDescent="0.25">
      <c r="A302" s="7"/>
      <c r="B302" s="7"/>
      <c r="C302" s="7"/>
      <c r="D302" s="7"/>
      <c r="E302" s="7"/>
    </row>
    <row r="303" spans="1:5" x14ac:dyDescent="0.25">
      <c r="A303" s="7"/>
      <c r="B303" s="7"/>
      <c r="C303" s="7"/>
      <c r="D303" s="7"/>
      <c r="E303" s="7"/>
    </row>
    <row r="304" spans="1:5" x14ac:dyDescent="0.25">
      <c r="A304" s="7"/>
      <c r="B304" s="7"/>
      <c r="C304" s="7"/>
      <c r="D304" s="7"/>
      <c r="E304" s="7"/>
    </row>
    <row r="305" spans="1:5" x14ac:dyDescent="0.25">
      <c r="A305" s="7"/>
      <c r="B305" s="7"/>
      <c r="C305" s="7"/>
      <c r="D305" s="7"/>
      <c r="E305" s="7"/>
    </row>
    <row r="306" spans="1:5" x14ac:dyDescent="0.25">
      <c r="A306" s="7"/>
      <c r="B306" s="7"/>
      <c r="C306" s="7"/>
      <c r="D306" s="7"/>
      <c r="E306" s="7"/>
    </row>
    <row r="307" spans="1:5" x14ac:dyDescent="0.25">
      <c r="A307" s="7"/>
      <c r="B307" s="7"/>
      <c r="C307" s="7"/>
      <c r="D307" s="7"/>
      <c r="E307" s="7"/>
    </row>
    <row r="308" spans="1:5" x14ac:dyDescent="0.25">
      <c r="A308" s="7"/>
      <c r="B308" s="7"/>
      <c r="C308" s="7"/>
      <c r="D308" s="7"/>
      <c r="E308" s="7"/>
    </row>
    <row r="309" spans="1:5" x14ac:dyDescent="0.25">
      <c r="A309" s="7"/>
      <c r="B309" s="7"/>
      <c r="C309" s="7"/>
      <c r="D309" s="7"/>
      <c r="E309" s="7"/>
    </row>
    <row r="310" spans="1:5" x14ac:dyDescent="0.25">
      <c r="A310" s="7"/>
      <c r="B310" s="7"/>
      <c r="C310" s="7"/>
      <c r="D310" s="7"/>
      <c r="E310" s="7"/>
    </row>
    <row r="311" spans="1:5" x14ac:dyDescent="0.25">
      <c r="A311" s="7"/>
      <c r="B311" s="7"/>
      <c r="C311" s="7"/>
      <c r="D311" s="7"/>
      <c r="E311" s="7"/>
    </row>
    <row r="312" spans="1:5" x14ac:dyDescent="0.25">
      <c r="A312" s="7"/>
      <c r="B312" s="7"/>
      <c r="C312" s="7"/>
      <c r="D312" s="7"/>
      <c r="E312" s="7"/>
    </row>
    <row r="313" spans="1:5" x14ac:dyDescent="0.25">
      <c r="A313" s="7"/>
      <c r="B313" s="7"/>
      <c r="C313" s="7"/>
      <c r="D313" s="7"/>
      <c r="E313" s="7"/>
    </row>
    <row r="314" spans="1:5" x14ac:dyDescent="0.25">
      <c r="A314" s="7"/>
      <c r="B314" s="7"/>
      <c r="C314" s="7"/>
      <c r="D314" s="7"/>
      <c r="E314" s="7"/>
    </row>
    <row r="315" spans="1:5" x14ac:dyDescent="0.25">
      <c r="A315" s="7"/>
      <c r="B315" s="7"/>
      <c r="C315" s="7"/>
      <c r="D315" s="7"/>
      <c r="E315" s="7"/>
    </row>
    <row r="316" spans="1:5" x14ac:dyDescent="0.25">
      <c r="A316" s="7"/>
      <c r="B316" s="7"/>
      <c r="C316" s="7"/>
      <c r="D316" s="7"/>
      <c r="E316" s="7"/>
    </row>
    <row r="317" spans="1:5" x14ac:dyDescent="0.25">
      <c r="A317" s="7"/>
      <c r="B317" s="7"/>
      <c r="C317" s="7"/>
      <c r="D317" s="7"/>
      <c r="E317" s="7"/>
    </row>
    <row r="318" spans="1:5" x14ac:dyDescent="0.25">
      <c r="A318" s="7"/>
      <c r="B318" s="7"/>
      <c r="C318" s="7"/>
      <c r="D318" s="7"/>
      <c r="E318" s="7"/>
    </row>
    <row r="319" spans="1:5" x14ac:dyDescent="0.25">
      <c r="A319" s="7"/>
      <c r="B319" s="7"/>
      <c r="C319" s="7"/>
      <c r="D319" s="7"/>
      <c r="E319" s="7"/>
    </row>
    <row r="320" spans="1:5" x14ac:dyDescent="0.25">
      <c r="A320" s="7"/>
      <c r="B320" s="7"/>
      <c r="C320" s="7"/>
      <c r="D320" s="7"/>
      <c r="E320" s="7"/>
    </row>
    <row r="321" spans="1:5" x14ac:dyDescent="0.25">
      <c r="A321" s="7"/>
      <c r="B321" s="7"/>
      <c r="C321" s="7"/>
      <c r="D321" s="7"/>
      <c r="E321" s="7"/>
    </row>
    <row r="322" spans="1:5" x14ac:dyDescent="0.25">
      <c r="A322" s="7"/>
      <c r="B322" s="7"/>
      <c r="C322" s="7"/>
      <c r="D322" s="7"/>
      <c r="E322" s="7"/>
    </row>
    <row r="323" spans="1:5" x14ac:dyDescent="0.25">
      <c r="A323" s="7"/>
      <c r="B323" s="7"/>
      <c r="C323" s="7"/>
      <c r="D323" s="7"/>
      <c r="E323" s="7"/>
    </row>
    <row r="324" spans="1:5" x14ac:dyDescent="0.25">
      <c r="A324" s="7"/>
      <c r="B324" s="7"/>
      <c r="C324" s="7"/>
      <c r="D324" s="7"/>
      <c r="E324" s="7"/>
    </row>
    <row r="325" spans="1:5" x14ac:dyDescent="0.25">
      <c r="A325" s="7"/>
      <c r="B325" s="7"/>
      <c r="C325" s="7"/>
      <c r="D325" s="7"/>
      <c r="E325" s="7"/>
    </row>
    <row r="326" spans="1:5" x14ac:dyDescent="0.25">
      <c r="A326" s="7"/>
      <c r="B326" s="7"/>
      <c r="C326" s="7"/>
      <c r="D326" s="7"/>
      <c r="E326" s="7"/>
    </row>
    <row r="327" spans="1:5" x14ac:dyDescent="0.25">
      <c r="A327" s="7"/>
      <c r="B327" s="7"/>
      <c r="C327" s="7"/>
      <c r="D327" s="7"/>
      <c r="E327" s="7"/>
    </row>
    <row r="328" spans="1:5" x14ac:dyDescent="0.25">
      <c r="A328" s="7"/>
      <c r="B328" s="7"/>
      <c r="C328" s="7"/>
      <c r="D328" s="7"/>
      <c r="E328" s="7"/>
    </row>
    <row r="329" spans="1:5" x14ac:dyDescent="0.25">
      <c r="A329" s="7"/>
      <c r="B329" s="7"/>
      <c r="C329" s="7"/>
      <c r="D329" s="7"/>
      <c r="E329" s="7"/>
    </row>
    <row r="330" spans="1:5" x14ac:dyDescent="0.25">
      <c r="A330" s="7"/>
      <c r="B330" s="7"/>
      <c r="C330" s="7"/>
      <c r="D330" s="7"/>
      <c r="E330" s="7"/>
    </row>
    <row r="331" spans="1:5" x14ac:dyDescent="0.25">
      <c r="A331" s="7"/>
      <c r="B331" s="7"/>
      <c r="C331" s="7"/>
      <c r="D331" s="7"/>
      <c r="E331" s="7"/>
    </row>
    <row r="332" spans="1:5" x14ac:dyDescent="0.25">
      <c r="A332" s="7"/>
      <c r="B332" s="7"/>
      <c r="C332" s="7"/>
      <c r="D332" s="7"/>
      <c r="E332" s="7"/>
    </row>
    <row r="333" spans="1:5" x14ac:dyDescent="0.25">
      <c r="A333" s="7"/>
      <c r="B333" s="7"/>
      <c r="C333" s="7"/>
      <c r="D333" s="7"/>
      <c r="E333" s="7"/>
    </row>
    <row r="334" spans="1:5" x14ac:dyDescent="0.25">
      <c r="A334" s="7"/>
      <c r="B334" s="7"/>
      <c r="C334" s="7"/>
      <c r="D334" s="7"/>
      <c r="E334" s="7"/>
    </row>
    <row r="335" spans="1:5" x14ac:dyDescent="0.25">
      <c r="A335" s="7"/>
      <c r="B335" s="7"/>
      <c r="C335" s="7"/>
      <c r="D335" s="7"/>
      <c r="E335" s="7"/>
    </row>
    <row r="336" spans="1:5" x14ac:dyDescent="0.25">
      <c r="A336" s="7"/>
      <c r="B336" s="7"/>
      <c r="C336" s="7"/>
      <c r="D336" s="7"/>
      <c r="E336" s="7"/>
    </row>
    <row r="337" spans="1:5" x14ac:dyDescent="0.25">
      <c r="A337" s="7"/>
      <c r="B337" s="7"/>
      <c r="C337" s="7"/>
      <c r="D337" s="7"/>
      <c r="E337" s="7"/>
    </row>
    <row r="338" spans="1:5" x14ac:dyDescent="0.25">
      <c r="A338" s="7"/>
      <c r="B338" s="7"/>
      <c r="C338" s="7"/>
      <c r="D338" s="7"/>
      <c r="E338" s="7"/>
    </row>
    <row r="339" spans="1:5" x14ac:dyDescent="0.25">
      <c r="A339" s="7"/>
      <c r="B339" s="7"/>
      <c r="C339" s="7"/>
      <c r="D339" s="7"/>
      <c r="E339" s="7"/>
    </row>
    <row r="340" spans="1:5" x14ac:dyDescent="0.25">
      <c r="A340" s="7"/>
      <c r="B340" s="7"/>
      <c r="C340" s="7"/>
      <c r="D340" s="7"/>
      <c r="E340" s="7"/>
    </row>
    <row r="341" spans="1:5" x14ac:dyDescent="0.25">
      <c r="A341" s="7"/>
      <c r="B341" s="7"/>
      <c r="C341" s="7"/>
      <c r="D341" s="7"/>
      <c r="E341" s="7"/>
    </row>
    <row r="342" spans="1:5" x14ac:dyDescent="0.25">
      <c r="A342" s="7"/>
      <c r="B342" s="7"/>
      <c r="C342" s="7"/>
      <c r="D342" s="7"/>
      <c r="E342" s="7"/>
    </row>
    <row r="343" spans="1:5" x14ac:dyDescent="0.25">
      <c r="A343" s="7"/>
      <c r="B343" s="7"/>
      <c r="C343" s="7"/>
      <c r="D343" s="7"/>
      <c r="E343" s="7"/>
    </row>
    <row r="344" spans="1:5" x14ac:dyDescent="0.25">
      <c r="A344" s="7"/>
      <c r="B344" s="7"/>
      <c r="C344" s="7"/>
      <c r="D344" s="7"/>
      <c r="E344" s="7"/>
    </row>
    <row r="345" spans="1:5" x14ac:dyDescent="0.25">
      <c r="A345" s="7"/>
      <c r="B345" s="7"/>
      <c r="C345" s="7"/>
      <c r="D345" s="7"/>
      <c r="E345" s="7"/>
    </row>
    <row r="346" spans="1:5" x14ac:dyDescent="0.25">
      <c r="A346" s="7"/>
      <c r="B346" s="7"/>
      <c r="C346" s="7"/>
      <c r="D346" s="7"/>
      <c r="E346" s="7"/>
    </row>
    <row r="347" spans="1:5" x14ac:dyDescent="0.25">
      <c r="A347" s="7"/>
      <c r="B347" s="7"/>
      <c r="C347" s="7"/>
      <c r="D347" s="7"/>
      <c r="E347" s="7"/>
    </row>
    <row r="348" spans="1:5" x14ac:dyDescent="0.25">
      <c r="A348" s="7"/>
      <c r="B348" s="7"/>
      <c r="C348" s="7"/>
      <c r="D348" s="7"/>
      <c r="E348" s="7"/>
    </row>
    <row r="349" spans="1:5" x14ac:dyDescent="0.25">
      <c r="A349" s="7"/>
      <c r="B349" s="7"/>
      <c r="C349" s="7"/>
      <c r="D349" s="7"/>
      <c r="E349" s="7"/>
    </row>
    <row r="350" spans="1:5" x14ac:dyDescent="0.25">
      <c r="A350" s="7"/>
      <c r="B350" s="7"/>
      <c r="C350" s="7"/>
      <c r="D350" s="7"/>
      <c r="E350" s="7"/>
    </row>
    <row r="351" spans="1:5" x14ac:dyDescent="0.25">
      <c r="A351" s="7"/>
      <c r="B351" s="7"/>
      <c r="C351" s="7"/>
      <c r="D351" s="7"/>
      <c r="E351" s="7"/>
    </row>
    <row r="352" spans="1:5" x14ac:dyDescent="0.25">
      <c r="A352" s="7"/>
      <c r="B352" s="7"/>
      <c r="C352" s="7"/>
      <c r="D352" s="7"/>
      <c r="E352" s="7"/>
    </row>
    <row r="353" spans="1:5" x14ac:dyDescent="0.25">
      <c r="A353" s="7"/>
      <c r="B353" s="7"/>
      <c r="C353" s="7"/>
      <c r="D353" s="7"/>
      <c r="E353" s="7"/>
    </row>
    <row r="354" spans="1:5" x14ac:dyDescent="0.25">
      <c r="A354" s="7"/>
      <c r="B354" s="7"/>
      <c r="C354" s="7"/>
      <c r="D354" s="7"/>
      <c r="E354" s="7"/>
    </row>
    <row r="355" spans="1:5" x14ac:dyDescent="0.25">
      <c r="A355" s="7"/>
      <c r="B355" s="7"/>
      <c r="C355" s="7"/>
      <c r="D355" s="7"/>
      <c r="E355" s="7"/>
    </row>
    <row r="356" spans="1:5" x14ac:dyDescent="0.25">
      <c r="A356" s="7"/>
      <c r="B356" s="7"/>
      <c r="C356" s="7"/>
      <c r="D356" s="7"/>
      <c r="E356" s="7"/>
    </row>
    <row r="357" spans="1:5" x14ac:dyDescent="0.25">
      <c r="A357" s="7"/>
      <c r="B357" s="7"/>
      <c r="C357" s="7"/>
      <c r="D357" s="7"/>
      <c r="E357" s="7"/>
    </row>
    <row r="358" spans="1:5" x14ac:dyDescent="0.25">
      <c r="A358" s="7"/>
      <c r="B358" s="7"/>
      <c r="C358" s="7"/>
      <c r="D358" s="7"/>
      <c r="E358" s="7"/>
    </row>
    <row r="359" spans="1:5" x14ac:dyDescent="0.25">
      <c r="A359" s="7"/>
      <c r="B359" s="7"/>
      <c r="C359" s="7"/>
      <c r="D359" s="7"/>
      <c r="E359" s="7"/>
    </row>
    <row r="360" spans="1:5" x14ac:dyDescent="0.25">
      <c r="A360" s="7"/>
      <c r="B360" s="7"/>
      <c r="C360" s="7"/>
      <c r="D360" s="7"/>
      <c r="E360" s="7"/>
    </row>
    <row r="361" spans="1:5" x14ac:dyDescent="0.25">
      <c r="A361" s="7"/>
      <c r="B361" s="7"/>
      <c r="C361" s="7"/>
      <c r="D361" s="7"/>
      <c r="E361" s="7"/>
    </row>
    <row r="362" spans="1:5" x14ac:dyDescent="0.25">
      <c r="A362" s="7"/>
      <c r="B362" s="7"/>
      <c r="C362" s="7"/>
      <c r="D362" s="7"/>
      <c r="E362" s="7"/>
    </row>
    <row r="363" spans="1:5" x14ac:dyDescent="0.25">
      <c r="A363" s="7"/>
      <c r="B363" s="7"/>
      <c r="C363" s="7"/>
      <c r="D363" s="7"/>
      <c r="E363" s="7"/>
    </row>
    <row r="364" spans="1:5" x14ac:dyDescent="0.25">
      <c r="A364" s="7"/>
      <c r="B364" s="7"/>
      <c r="C364" s="7"/>
      <c r="D364" s="7"/>
      <c r="E364" s="7"/>
    </row>
    <row r="365" spans="1:5" x14ac:dyDescent="0.25">
      <c r="A365" s="7"/>
      <c r="B365" s="7"/>
      <c r="C365" s="7"/>
      <c r="D365" s="7"/>
      <c r="E365" s="7"/>
    </row>
    <row r="366" spans="1:5" x14ac:dyDescent="0.25">
      <c r="A366" s="7"/>
      <c r="B366" s="7"/>
      <c r="C366" s="7"/>
      <c r="D366" s="7"/>
      <c r="E366" s="7"/>
    </row>
    <row r="367" spans="1:5" x14ac:dyDescent="0.25">
      <c r="A367" s="7"/>
      <c r="B367" s="7"/>
      <c r="C367" s="7"/>
      <c r="D367" s="7"/>
      <c r="E367" s="7"/>
    </row>
    <row r="368" spans="1:5" x14ac:dyDescent="0.25">
      <c r="A368" s="7"/>
      <c r="B368" s="7"/>
      <c r="C368" s="7"/>
      <c r="D368" s="7"/>
      <c r="E368" s="7"/>
    </row>
    <row r="369" spans="1:5" x14ac:dyDescent="0.25">
      <c r="A369" s="7"/>
      <c r="B369" s="7"/>
      <c r="C369" s="7"/>
      <c r="D369" s="7"/>
      <c r="E369" s="7"/>
    </row>
    <row r="370" spans="1:5" x14ac:dyDescent="0.25">
      <c r="A370" s="7"/>
      <c r="B370" s="7"/>
      <c r="C370" s="7"/>
      <c r="D370" s="7"/>
      <c r="E370" s="7"/>
    </row>
    <row r="371" spans="1:5" x14ac:dyDescent="0.25">
      <c r="A371" s="7"/>
      <c r="B371" s="7"/>
      <c r="C371" s="7"/>
      <c r="D371" s="7"/>
      <c r="E371" s="7"/>
    </row>
    <row r="372" spans="1:5" x14ac:dyDescent="0.25">
      <c r="A372" s="7"/>
      <c r="B372" s="7"/>
      <c r="C372" s="7"/>
      <c r="D372" s="7"/>
      <c r="E372" s="7"/>
    </row>
    <row r="373" spans="1:5" x14ac:dyDescent="0.25">
      <c r="A373" s="7"/>
      <c r="B373" s="7"/>
      <c r="C373" s="7"/>
      <c r="D373" s="7"/>
      <c r="E373" s="7"/>
    </row>
    <row r="374" spans="1:5" x14ac:dyDescent="0.25">
      <c r="A374" s="7"/>
      <c r="B374" s="7"/>
      <c r="C374" s="7"/>
      <c r="D374" s="7"/>
      <c r="E374" s="7"/>
    </row>
    <row r="375" spans="1:5" x14ac:dyDescent="0.25">
      <c r="A375" s="7"/>
      <c r="B375" s="7"/>
      <c r="C375" s="7"/>
      <c r="D375" s="7"/>
      <c r="E375" s="7"/>
    </row>
    <row r="376" spans="1:5" x14ac:dyDescent="0.25">
      <c r="A376" s="7"/>
      <c r="B376" s="7"/>
      <c r="C376" s="7"/>
      <c r="D376" s="7"/>
      <c r="E376" s="7"/>
    </row>
    <row r="377" spans="1:5" x14ac:dyDescent="0.25">
      <c r="A377" s="7"/>
      <c r="B377" s="7"/>
      <c r="C377" s="7"/>
      <c r="D377" s="7"/>
      <c r="E377" s="7"/>
    </row>
    <row r="378" spans="1:5" x14ac:dyDescent="0.25">
      <c r="A378" s="7"/>
      <c r="B378" s="7"/>
      <c r="C378" s="7"/>
      <c r="D378" s="7"/>
      <c r="E378" s="7"/>
    </row>
    <row r="379" spans="1:5" x14ac:dyDescent="0.25">
      <c r="A379" s="7"/>
      <c r="B379" s="7"/>
      <c r="C379" s="7"/>
      <c r="D379" s="7"/>
      <c r="E379" s="7"/>
    </row>
    <row r="380" spans="1:5" x14ac:dyDescent="0.25">
      <c r="A380" s="7"/>
      <c r="B380" s="7"/>
      <c r="C380" s="7"/>
      <c r="D380" s="7"/>
      <c r="E380" s="7"/>
    </row>
    <row r="381" spans="1:5" x14ac:dyDescent="0.25">
      <c r="A381" s="7"/>
      <c r="B381" s="7"/>
      <c r="C381" s="7"/>
      <c r="D381" s="7"/>
      <c r="E381" s="7"/>
    </row>
    <row r="382" spans="1:5" x14ac:dyDescent="0.25">
      <c r="A382" s="7"/>
      <c r="B382" s="7"/>
      <c r="C382" s="7"/>
      <c r="D382" s="7"/>
      <c r="E382" s="7"/>
    </row>
    <row r="383" spans="1:5" x14ac:dyDescent="0.25">
      <c r="A383" s="7"/>
      <c r="B383" s="7"/>
      <c r="C383" s="7"/>
      <c r="D383" s="7"/>
      <c r="E383" s="7"/>
    </row>
    <row r="384" spans="1:5" x14ac:dyDescent="0.25">
      <c r="A384" s="7"/>
      <c r="B384" s="7"/>
      <c r="C384" s="7"/>
      <c r="D384" s="7"/>
      <c r="E384" s="7"/>
    </row>
    <row r="385" spans="1:5" x14ac:dyDescent="0.25">
      <c r="A385" s="7"/>
      <c r="B385" s="7"/>
      <c r="C385" s="7"/>
      <c r="D385" s="7"/>
      <c r="E385" s="7"/>
    </row>
    <row r="386" spans="1:5" x14ac:dyDescent="0.25">
      <c r="A386" s="7"/>
      <c r="B386" s="7"/>
      <c r="C386" s="7"/>
      <c r="D386" s="7"/>
      <c r="E386" s="7"/>
    </row>
    <row r="387" spans="1:5" x14ac:dyDescent="0.25">
      <c r="A387" s="7"/>
      <c r="B387" s="7"/>
      <c r="C387" s="7"/>
      <c r="D387" s="7"/>
      <c r="E387" s="7"/>
    </row>
    <row r="388" spans="1:5" x14ac:dyDescent="0.25">
      <c r="A388" s="7"/>
      <c r="B388" s="7"/>
      <c r="C388" s="7"/>
      <c r="D388" s="7"/>
      <c r="E388" s="7"/>
    </row>
    <row r="389" spans="1:5" x14ac:dyDescent="0.25">
      <c r="A389" s="7"/>
      <c r="B389" s="7"/>
      <c r="C389" s="7"/>
      <c r="D389" s="7"/>
      <c r="E389" s="7"/>
    </row>
    <row r="390" spans="1:5" x14ac:dyDescent="0.25">
      <c r="A390" s="7"/>
      <c r="B390" s="7"/>
      <c r="C390" s="7"/>
      <c r="D390" s="7"/>
      <c r="E390" s="7"/>
    </row>
    <row r="391" spans="1:5" x14ac:dyDescent="0.25">
      <c r="A391" s="7"/>
      <c r="B391" s="7"/>
      <c r="C391" s="7"/>
      <c r="D391" s="7"/>
      <c r="E391" s="7"/>
    </row>
    <row r="392" spans="1:5" x14ac:dyDescent="0.25">
      <c r="A392" s="7"/>
      <c r="B392" s="7"/>
      <c r="C392" s="7"/>
      <c r="D392" s="7"/>
      <c r="E392" s="7"/>
    </row>
    <row r="393" spans="1:5" x14ac:dyDescent="0.25">
      <c r="A393" s="7"/>
      <c r="B393" s="7"/>
      <c r="C393" s="7"/>
      <c r="D393" s="7"/>
      <c r="E393" s="7"/>
    </row>
    <row r="394" spans="1:5" x14ac:dyDescent="0.25">
      <c r="A394" s="7"/>
      <c r="B394" s="7"/>
      <c r="C394" s="7"/>
      <c r="D394" s="7"/>
      <c r="E394" s="7"/>
    </row>
    <row r="395" spans="1:5" x14ac:dyDescent="0.25">
      <c r="A395" s="7"/>
      <c r="B395" s="7"/>
      <c r="C395" s="7"/>
      <c r="D395" s="7"/>
      <c r="E395" s="7"/>
    </row>
    <row r="396" spans="1:5" x14ac:dyDescent="0.25">
      <c r="A396" s="7"/>
      <c r="B396" s="7"/>
      <c r="C396" s="7"/>
      <c r="D396" s="7"/>
      <c r="E396" s="7"/>
    </row>
    <row r="397" spans="1:5" x14ac:dyDescent="0.25">
      <c r="A397" s="7"/>
      <c r="B397" s="7"/>
      <c r="C397" s="7"/>
      <c r="D397" s="7"/>
      <c r="E397" s="7"/>
    </row>
    <row r="398" spans="1:5" x14ac:dyDescent="0.25">
      <c r="A398" s="7"/>
      <c r="B398" s="7"/>
      <c r="C398" s="7"/>
      <c r="D398" s="7"/>
      <c r="E398" s="7"/>
    </row>
    <row r="399" spans="1:5" x14ac:dyDescent="0.25">
      <c r="A399" s="7"/>
      <c r="B399" s="7"/>
      <c r="C399" s="7"/>
      <c r="D399" s="7"/>
      <c r="E399" s="7"/>
    </row>
    <row r="400" spans="1:5" x14ac:dyDescent="0.25">
      <c r="A400" s="7"/>
      <c r="B400" s="7"/>
      <c r="C400" s="7"/>
      <c r="D400" s="7"/>
      <c r="E400" s="7"/>
    </row>
    <row r="401" spans="1:5" x14ac:dyDescent="0.25">
      <c r="A401" s="7"/>
      <c r="B401" s="7"/>
      <c r="C401" s="7"/>
      <c r="D401" s="7"/>
      <c r="E401" s="7"/>
    </row>
    <row r="402" spans="1:5" x14ac:dyDescent="0.25">
      <c r="A402" s="7"/>
      <c r="B402" s="7"/>
      <c r="C402" s="7"/>
      <c r="D402" s="7"/>
      <c r="E402" s="7"/>
    </row>
    <row r="403" spans="1:5" x14ac:dyDescent="0.25">
      <c r="A403" s="7"/>
      <c r="B403" s="7"/>
      <c r="C403" s="7"/>
      <c r="D403" s="7"/>
      <c r="E403" s="7"/>
    </row>
    <row r="404" spans="1:5" x14ac:dyDescent="0.25">
      <c r="A404" s="7"/>
      <c r="B404" s="7"/>
      <c r="C404" s="7"/>
      <c r="D404" s="7"/>
      <c r="E404" s="7"/>
    </row>
    <row r="405" spans="1:5" x14ac:dyDescent="0.25">
      <c r="A405" s="7"/>
      <c r="B405" s="7"/>
      <c r="C405" s="7"/>
      <c r="D405" s="7"/>
      <c r="E405" s="7"/>
    </row>
    <row r="406" spans="1:5" x14ac:dyDescent="0.25">
      <c r="A406" s="7"/>
      <c r="B406" s="7"/>
      <c r="C406" s="7"/>
      <c r="D406" s="7"/>
      <c r="E406" s="7"/>
    </row>
    <row r="407" spans="1:5" x14ac:dyDescent="0.25">
      <c r="A407" s="7"/>
      <c r="B407" s="7"/>
      <c r="C407" s="7"/>
      <c r="D407" s="7"/>
      <c r="E407" s="7"/>
    </row>
    <row r="408" spans="1:5" x14ac:dyDescent="0.25">
      <c r="A408" s="7"/>
      <c r="B408" s="7"/>
      <c r="C408" s="7"/>
      <c r="D408" s="7"/>
      <c r="E408" s="7"/>
    </row>
    <row r="409" spans="1:5" x14ac:dyDescent="0.25">
      <c r="A409" s="7"/>
      <c r="B409" s="7"/>
      <c r="C409" s="7"/>
      <c r="D409" s="7"/>
      <c r="E409" s="7"/>
    </row>
    <row r="410" spans="1:5" x14ac:dyDescent="0.25">
      <c r="A410" s="7"/>
      <c r="B410" s="7"/>
      <c r="C410" s="7"/>
      <c r="D410" s="7"/>
      <c r="E410" s="7"/>
    </row>
    <row r="411" spans="1:5" x14ac:dyDescent="0.25">
      <c r="A411" s="7"/>
      <c r="B411" s="7"/>
      <c r="C411" s="7"/>
      <c r="D411" s="7"/>
      <c r="E411" s="7"/>
    </row>
    <row r="412" spans="1:5" x14ac:dyDescent="0.25">
      <c r="A412" s="7"/>
      <c r="B412" s="7"/>
      <c r="C412" s="7"/>
      <c r="D412" s="7"/>
      <c r="E412" s="7"/>
    </row>
    <row r="413" spans="1:5" x14ac:dyDescent="0.25">
      <c r="A413" s="7"/>
      <c r="B413" s="7"/>
      <c r="C413" s="7"/>
      <c r="D413" s="7"/>
      <c r="E413" s="7"/>
    </row>
    <row r="414" spans="1:5" x14ac:dyDescent="0.25">
      <c r="A414" s="7"/>
      <c r="B414" s="7"/>
      <c r="C414" s="7"/>
      <c r="D414" s="7"/>
      <c r="E414" s="7"/>
    </row>
    <row r="415" spans="1:5" x14ac:dyDescent="0.25">
      <c r="A415" s="7"/>
      <c r="B415" s="7"/>
      <c r="C415" s="7"/>
      <c r="D415" s="7"/>
      <c r="E415" s="7"/>
    </row>
    <row r="416" spans="1:5" x14ac:dyDescent="0.25">
      <c r="A416" s="7"/>
      <c r="B416" s="7"/>
      <c r="C416" s="7"/>
      <c r="D416" s="7"/>
      <c r="E416" s="7"/>
    </row>
    <row r="417" spans="1:5" x14ac:dyDescent="0.25">
      <c r="A417" s="7"/>
      <c r="B417" s="7"/>
      <c r="C417" s="7"/>
      <c r="D417" s="7"/>
      <c r="E417" s="7"/>
    </row>
    <row r="418" spans="1:5" x14ac:dyDescent="0.25">
      <c r="A418" s="7"/>
      <c r="B418" s="7"/>
      <c r="C418" s="7"/>
      <c r="D418" s="7"/>
      <c r="E418" s="7"/>
    </row>
    <row r="419" spans="1:5" x14ac:dyDescent="0.25">
      <c r="A419" s="7"/>
      <c r="B419" s="7"/>
      <c r="C419" s="7"/>
      <c r="D419" s="7"/>
      <c r="E419" s="7"/>
    </row>
    <row r="420" spans="1:5" x14ac:dyDescent="0.25">
      <c r="A420" s="7"/>
      <c r="B420" s="7"/>
      <c r="C420" s="7"/>
      <c r="D420" s="7"/>
      <c r="E420" s="7"/>
    </row>
    <row r="421" spans="1:5" x14ac:dyDescent="0.25">
      <c r="A421" s="7"/>
      <c r="B421" s="7"/>
      <c r="C421" s="7"/>
      <c r="D421" s="7"/>
      <c r="E421" s="7"/>
    </row>
    <row r="422" spans="1:5" x14ac:dyDescent="0.25">
      <c r="A422" s="7"/>
      <c r="B422" s="7"/>
      <c r="C422" s="7"/>
      <c r="D422" s="7"/>
      <c r="E422" s="7"/>
    </row>
    <row r="423" spans="1:5" x14ac:dyDescent="0.25">
      <c r="A423" s="7"/>
      <c r="B423" s="7"/>
      <c r="C423" s="7"/>
      <c r="D423" s="7"/>
      <c r="E423" s="7"/>
    </row>
    <row r="424" spans="1:5" x14ac:dyDescent="0.25">
      <c r="A424" s="7"/>
      <c r="B424" s="7"/>
      <c r="C424" s="7"/>
      <c r="D424" s="7"/>
      <c r="E424" s="7"/>
    </row>
    <row r="425" spans="1:5" x14ac:dyDescent="0.25">
      <c r="A425" s="7"/>
      <c r="B425" s="7"/>
      <c r="C425" s="7"/>
      <c r="D425" s="7"/>
      <c r="E425" s="7"/>
    </row>
    <row r="426" spans="1:5" x14ac:dyDescent="0.25">
      <c r="A426" s="7"/>
      <c r="B426" s="7"/>
      <c r="C426" s="7"/>
      <c r="D426" s="7"/>
      <c r="E426" s="7"/>
    </row>
    <row r="427" spans="1:5" x14ac:dyDescent="0.25">
      <c r="A427" s="7"/>
      <c r="B427" s="7"/>
      <c r="C427" s="7"/>
      <c r="D427" s="7"/>
      <c r="E427" s="7"/>
    </row>
    <row r="428" spans="1:5" x14ac:dyDescent="0.25">
      <c r="A428" s="7"/>
      <c r="B428" s="7"/>
      <c r="C428" s="7"/>
      <c r="D428" s="7"/>
      <c r="E428" s="7"/>
    </row>
    <row r="429" spans="1:5" x14ac:dyDescent="0.25">
      <c r="A429" s="7"/>
      <c r="B429" s="7"/>
      <c r="C429" s="7"/>
      <c r="D429" s="7"/>
      <c r="E429" s="7"/>
    </row>
    <row r="430" spans="1:5" x14ac:dyDescent="0.25">
      <c r="A430" s="7"/>
      <c r="B430" s="7"/>
      <c r="C430" s="7"/>
      <c r="D430" s="7"/>
      <c r="E430" s="7"/>
    </row>
    <row r="431" spans="1:5" x14ac:dyDescent="0.25">
      <c r="A431" s="7"/>
      <c r="B431" s="7"/>
      <c r="C431" s="7"/>
      <c r="D431" s="7"/>
      <c r="E431" s="7"/>
    </row>
    <row r="432" spans="1:5" x14ac:dyDescent="0.25">
      <c r="A432" s="7"/>
      <c r="B432" s="7"/>
      <c r="C432" s="7"/>
      <c r="D432" s="7"/>
      <c r="E432" s="7"/>
    </row>
    <row r="433" spans="1:5" x14ac:dyDescent="0.25">
      <c r="A433" s="7"/>
      <c r="B433" s="7"/>
      <c r="C433" s="7"/>
      <c r="D433" s="7"/>
      <c r="E433" s="7"/>
    </row>
    <row r="434" spans="1:5" x14ac:dyDescent="0.25">
      <c r="A434" s="7"/>
      <c r="B434" s="7"/>
      <c r="C434" s="7"/>
      <c r="D434" s="7"/>
      <c r="E434" s="7"/>
    </row>
    <row r="435" spans="1:5" x14ac:dyDescent="0.25">
      <c r="A435" s="7"/>
      <c r="B435" s="7"/>
      <c r="C435" s="7"/>
      <c r="D435" s="7"/>
      <c r="E435" s="7"/>
    </row>
    <row r="436" spans="1:5" x14ac:dyDescent="0.25">
      <c r="A436" s="7"/>
      <c r="B436" s="7"/>
      <c r="C436" s="7"/>
      <c r="D436" s="7"/>
      <c r="E436" s="7"/>
    </row>
    <row r="437" spans="1:5" x14ac:dyDescent="0.25">
      <c r="A437" s="7"/>
      <c r="B437" s="7"/>
      <c r="C437" s="7"/>
      <c r="D437" s="7"/>
      <c r="E437" s="7"/>
    </row>
    <row r="438" spans="1:5" x14ac:dyDescent="0.25">
      <c r="A438" s="7"/>
      <c r="B438" s="7"/>
      <c r="C438" s="7"/>
      <c r="D438" s="7"/>
      <c r="E438" s="7"/>
    </row>
    <row r="439" spans="1:5" x14ac:dyDescent="0.25">
      <c r="A439" s="7"/>
      <c r="B439" s="7"/>
      <c r="C439" s="7"/>
      <c r="D439" s="7"/>
      <c r="E439" s="7"/>
    </row>
    <row r="440" spans="1:5" x14ac:dyDescent="0.25">
      <c r="A440" s="7"/>
      <c r="B440" s="7"/>
      <c r="C440" s="7"/>
      <c r="D440" s="7"/>
      <c r="E440" s="7"/>
    </row>
    <row r="441" spans="1:5" x14ac:dyDescent="0.25">
      <c r="A441" s="7"/>
      <c r="B441" s="7"/>
      <c r="C441" s="7"/>
      <c r="D441" s="7"/>
      <c r="E441" s="7"/>
    </row>
    <row r="442" spans="1:5" x14ac:dyDescent="0.25">
      <c r="A442" s="7"/>
      <c r="B442" s="7"/>
      <c r="C442" s="7"/>
      <c r="D442" s="7"/>
      <c r="E442" s="7"/>
    </row>
    <row r="443" spans="1:5" x14ac:dyDescent="0.25">
      <c r="A443" s="7"/>
      <c r="B443" s="7"/>
      <c r="C443" s="7"/>
      <c r="D443" s="7"/>
      <c r="E443" s="7"/>
    </row>
    <row r="444" spans="1:5" x14ac:dyDescent="0.25">
      <c r="A444" s="7"/>
      <c r="B444" s="7"/>
      <c r="C444" s="7"/>
      <c r="D444" s="7"/>
      <c r="E444" s="7"/>
    </row>
    <row r="445" spans="1:5" x14ac:dyDescent="0.25">
      <c r="A445" s="7"/>
      <c r="B445" s="7"/>
      <c r="C445" s="7"/>
      <c r="D445" s="7"/>
      <c r="E445" s="7"/>
    </row>
    <row r="446" spans="1:5" x14ac:dyDescent="0.25">
      <c r="A446" s="7"/>
      <c r="B446" s="7"/>
      <c r="C446" s="7"/>
      <c r="D446" s="7"/>
      <c r="E446" s="7"/>
    </row>
    <row r="447" spans="1:5" x14ac:dyDescent="0.25">
      <c r="A447" s="7"/>
      <c r="B447" s="7"/>
      <c r="C447" s="7"/>
      <c r="D447" s="7"/>
      <c r="E447" s="7"/>
    </row>
    <row r="448" spans="1:5" x14ac:dyDescent="0.25">
      <c r="A448" s="7"/>
      <c r="B448" s="7"/>
      <c r="C448" s="7"/>
      <c r="D448" s="7"/>
      <c r="E448" s="7"/>
    </row>
    <row r="449" spans="1:5" x14ac:dyDescent="0.25">
      <c r="A449" s="7"/>
      <c r="B449" s="7"/>
      <c r="C449" s="7"/>
      <c r="D449" s="7"/>
      <c r="E449" s="7"/>
    </row>
    <row r="450" spans="1:5" x14ac:dyDescent="0.25">
      <c r="A450" s="7"/>
      <c r="B450" s="7"/>
      <c r="C450" s="7"/>
      <c r="D450" s="7"/>
      <c r="E450" s="7"/>
    </row>
    <row r="451" spans="1:5" x14ac:dyDescent="0.25">
      <c r="A451" s="7"/>
      <c r="B451" s="7"/>
      <c r="C451" s="7"/>
      <c r="D451" s="7"/>
      <c r="E451" s="7"/>
    </row>
    <row r="452" spans="1:5" x14ac:dyDescent="0.25">
      <c r="A452" s="7"/>
      <c r="B452" s="7"/>
      <c r="C452" s="7"/>
      <c r="D452" s="7"/>
      <c r="E452" s="7"/>
    </row>
    <row r="453" spans="1:5" x14ac:dyDescent="0.25">
      <c r="A453" s="7"/>
      <c r="B453" s="7"/>
      <c r="C453" s="7"/>
      <c r="D453" s="7"/>
      <c r="E453" s="7"/>
    </row>
    <row r="454" spans="1:5" x14ac:dyDescent="0.25">
      <c r="A454" s="7"/>
      <c r="B454" s="7"/>
      <c r="C454" s="7"/>
      <c r="D454" s="7"/>
      <c r="E454" s="7"/>
    </row>
    <row r="455" spans="1:5" x14ac:dyDescent="0.25">
      <c r="A455" s="7"/>
      <c r="B455" s="7"/>
      <c r="C455" s="7"/>
      <c r="D455" s="7"/>
      <c r="E455" s="7"/>
    </row>
    <row r="456" spans="1:5" x14ac:dyDescent="0.25">
      <c r="A456" s="7"/>
      <c r="B456" s="7"/>
      <c r="C456" s="7"/>
      <c r="D456" s="7"/>
      <c r="E456" s="7"/>
    </row>
    <row r="457" spans="1:5" x14ac:dyDescent="0.25">
      <c r="A457" s="7"/>
      <c r="B457" s="7"/>
      <c r="C457" s="7"/>
      <c r="D457" s="7"/>
      <c r="E457" s="7"/>
    </row>
    <row r="458" spans="1:5" x14ac:dyDescent="0.25">
      <c r="A458" s="7"/>
      <c r="B458" s="7"/>
      <c r="C458" s="7"/>
      <c r="D458" s="7"/>
      <c r="E458" s="7"/>
    </row>
    <row r="459" spans="1:5" x14ac:dyDescent="0.25">
      <c r="A459" s="7"/>
      <c r="B459" s="7"/>
      <c r="C459" s="7"/>
      <c r="D459" s="7"/>
      <c r="E459" s="7"/>
    </row>
    <row r="460" spans="1:5" x14ac:dyDescent="0.25">
      <c r="A460" s="7"/>
      <c r="B460" s="7"/>
      <c r="C460" s="7"/>
      <c r="D460" s="7"/>
      <c r="E460" s="7"/>
    </row>
    <row r="461" spans="1:5" x14ac:dyDescent="0.25">
      <c r="A461" s="7"/>
      <c r="B461" s="7"/>
      <c r="C461" s="7"/>
      <c r="D461" s="7"/>
      <c r="E461" s="7"/>
    </row>
    <row r="462" spans="1:5" x14ac:dyDescent="0.25">
      <c r="A462" s="7"/>
      <c r="B462" s="7"/>
      <c r="C462" s="7"/>
      <c r="D462" s="7"/>
      <c r="E462" s="7"/>
    </row>
    <row r="463" spans="1:5" x14ac:dyDescent="0.25">
      <c r="A463" s="7"/>
      <c r="B463" s="7"/>
      <c r="C463" s="7"/>
      <c r="D463" s="7"/>
      <c r="E463" s="7"/>
    </row>
    <row r="464" spans="1:5" x14ac:dyDescent="0.25">
      <c r="A464" s="7"/>
      <c r="B464" s="7"/>
      <c r="C464" s="7"/>
      <c r="D464" s="7"/>
      <c r="E464" s="7"/>
    </row>
    <row r="465" spans="1:5" x14ac:dyDescent="0.25">
      <c r="A465" s="7"/>
      <c r="B465" s="7"/>
      <c r="C465" s="7"/>
      <c r="D465" s="7"/>
      <c r="E465" s="7"/>
    </row>
    <row r="466" spans="1:5" x14ac:dyDescent="0.25">
      <c r="A466" s="7"/>
      <c r="B466" s="7"/>
      <c r="C466" s="7"/>
      <c r="D466" s="7"/>
      <c r="E466" s="7"/>
    </row>
    <row r="467" spans="1:5" x14ac:dyDescent="0.25">
      <c r="A467" s="7"/>
      <c r="B467" s="7"/>
      <c r="C467" s="7"/>
      <c r="D467" s="7"/>
      <c r="E467" s="7"/>
    </row>
    <row r="468" spans="1:5" x14ac:dyDescent="0.25">
      <c r="A468" s="7"/>
      <c r="B468" s="7"/>
      <c r="C468" s="7"/>
      <c r="D468" s="7"/>
      <c r="E468" s="7"/>
    </row>
    <row r="469" spans="1:5" x14ac:dyDescent="0.25">
      <c r="A469" s="7"/>
      <c r="B469" s="7"/>
      <c r="C469" s="7"/>
      <c r="D469" s="7"/>
      <c r="E469" s="7"/>
    </row>
    <row r="470" spans="1:5" x14ac:dyDescent="0.25">
      <c r="A470" s="7"/>
      <c r="B470" s="7"/>
      <c r="C470" s="7"/>
      <c r="D470" s="7"/>
      <c r="E470" s="7"/>
    </row>
    <row r="471" spans="1:5" x14ac:dyDescent="0.25">
      <c r="A471" s="7"/>
      <c r="B471" s="7"/>
      <c r="C471" s="7"/>
      <c r="D471" s="7"/>
      <c r="E471" s="7"/>
    </row>
    <row r="472" spans="1:5" x14ac:dyDescent="0.25">
      <c r="A472" s="7"/>
      <c r="B472" s="7"/>
      <c r="C472" s="7"/>
      <c r="D472" s="7"/>
      <c r="E472" s="7"/>
    </row>
    <row r="473" spans="1:5" x14ac:dyDescent="0.25">
      <c r="A473" s="7"/>
      <c r="B473" s="7"/>
      <c r="C473" s="7"/>
      <c r="D473" s="7"/>
      <c r="E473" s="7"/>
    </row>
    <row r="474" spans="1:5" x14ac:dyDescent="0.25">
      <c r="A474" s="7"/>
      <c r="B474" s="7"/>
      <c r="C474" s="7"/>
      <c r="D474" s="7"/>
      <c r="E474" s="7"/>
    </row>
    <row r="475" spans="1:5" x14ac:dyDescent="0.25">
      <c r="A475" s="7"/>
      <c r="B475" s="7"/>
      <c r="C475" s="7"/>
      <c r="D475" s="7"/>
      <c r="E475" s="7"/>
    </row>
    <row r="476" spans="1:5" x14ac:dyDescent="0.25">
      <c r="A476" s="7"/>
      <c r="B476" s="7"/>
      <c r="C476" s="7"/>
      <c r="D476" s="7"/>
      <c r="E476" s="7"/>
    </row>
    <row r="477" spans="1:5" x14ac:dyDescent="0.25">
      <c r="A477" s="7"/>
      <c r="B477" s="7"/>
      <c r="C477" s="7"/>
      <c r="D477" s="7"/>
      <c r="E477" s="7"/>
    </row>
    <row r="478" spans="1:5" x14ac:dyDescent="0.25">
      <c r="A478" s="7"/>
      <c r="B478" s="7"/>
      <c r="C478" s="7"/>
      <c r="D478" s="7"/>
      <c r="E478" s="7"/>
    </row>
    <row r="479" spans="1:5" x14ac:dyDescent="0.25">
      <c r="A479" s="7"/>
      <c r="B479" s="7"/>
      <c r="C479" s="7"/>
      <c r="D479" s="7"/>
      <c r="E479" s="7"/>
    </row>
    <row r="480" spans="1:5" x14ac:dyDescent="0.25">
      <c r="A480" s="7"/>
      <c r="B480" s="7"/>
      <c r="C480" s="7"/>
      <c r="D480" s="7"/>
      <c r="E480" s="7"/>
    </row>
    <row r="481" spans="1:5" x14ac:dyDescent="0.25">
      <c r="A481" s="7"/>
      <c r="B481" s="7"/>
      <c r="C481" s="7"/>
      <c r="D481" s="7"/>
      <c r="E481" s="7"/>
    </row>
    <row r="482" spans="1:5" x14ac:dyDescent="0.25">
      <c r="A482" s="7"/>
      <c r="B482" s="7"/>
      <c r="C482" s="7"/>
      <c r="D482" s="7"/>
      <c r="E482" s="7"/>
    </row>
    <row r="483" spans="1:5" x14ac:dyDescent="0.25">
      <c r="A483" s="7"/>
      <c r="B483" s="7"/>
      <c r="C483" s="7"/>
      <c r="D483" s="7"/>
      <c r="E483" s="7"/>
    </row>
    <row r="484" spans="1:5" x14ac:dyDescent="0.25">
      <c r="A484" s="7"/>
      <c r="B484" s="7"/>
      <c r="C484" s="7"/>
      <c r="D484" s="7"/>
      <c r="E484" s="7"/>
    </row>
    <row r="485" spans="1:5" x14ac:dyDescent="0.25">
      <c r="A485" s="7"/>
      <c r="B485" s="7"/>
      <c r="C485" s="7"/>
      <c r="D485" s="7"/>
      <c r="E485" s="7"/>
    </row>
    <row r="486" spans="1:5" x14ac:dyDescent="0.25">
      <c r="A486" s="7"/>
      <c r="B486" s="7"/>
      <c r="C486" s="7"/>
      <c r="D486" s="7"/>
      <c r="E486" s="7"/>
    </row>
    <row r="487" spans="1:5" x14ac:dyDescent="0.25">
      <c r="A487" s="7"/>
      <c r="B487" s="7"/>
      <c r="C487" s="7"/>
      <c r="D487" s="7"/>
      <c r="E487" s="7"/>
    </row>
    <row r="488" spans="1:5" x14ac:dyDescent="0.25">
      <c r="A488" s="7"/>
      <c r="B488" s="7"/>
      <c r="C488" s="7"/>
      <c r="D488" s="7"/>
      <c r="E488" s="7"/>
    </row>
    <row r="489" spans="1:5" x14ac:dyDescent="0.25">
      <c r="A489" s="7"/>
      <c r="B489" s="7"/>
      <c r="C489" s="7"/>
      <c r="D489" s="7"/>
      <c r="E489" s="7"/>
    </row>
    <row r="490" spans="1:5" x14ac:dyDescent="0.25">
      <c r="A490" s="7"/>
      <c r="B490" s="7"/>
      <c r="C490" s="7"/>
      <c r="D490" s="7"/>
      <c r="E490" s="7"/>
    </row>
    <row r="491" spans="1:5" x14ac:dyDescent="0.25">
      <c r="A491" s="7"/>
      <c r="B491" s="7"/>
      <c r="C491" s="7"/>
      <c r="D491" s="7"/>
      <c r="E491" s="7"/>
    </row>
    <row r="492" spans="1:5" x14ac:dyDescent="0.25">
      <c r="A492" s="7"/>
      <c r="B492" s="7"/>
      <c r="C492" s="7"/>
      <c r="D492" s="7"/>
      <c r="E492" s="7"/>
    </row>
    <row r="493" spans="1:5" x14ac:dyDescent="0.25">
      <c r="A493" s="7"/>
      <c r="B493" s="7"/>
      <c r="C493" s="7"/>
      <c r="D493" s="7"/>
      <c r="E493" s="7"/>
    </row>
    <row r="494" spans="1:5" x14ac:dyDescent="0.25">
      <c r="A494" s="7"/>
      <c r="B494" s="7"/>
      <c r="C494" s="7"/>
      <c r="D494" s="7"/>
      <c r="E494" s="7"/>
    </row>
    <row r="495" spans="1:5" x14ac:dyDescent="0.25">
      <c r="A495" s="7"/>
      <c r="B495" s="7"/>
      <c r="C495" s="7"/>
      <c r="D495" s="7"/>
      <c r="E495" s="7"/>
    </row>
    <row r="496" spans="1:5" x14ac:dyDescent="0.25">
      <c r="A496" s="7"/>
      <c r="B496" s="7"/>
      <c r="C496" s="7"/>
      <c r="D496" s="7"/>
      <c r="E496" s="7"/>
    </row>
    <row r="497" spans="1:5" x14ac:dyDescent="0.25">
      <c r="A497" s="7"/>
      <c r="B497" s="7"/>
      <c r="C497" s="7"/>
      <c r="D497" s="7"/>
      <c r="E497" s="7"/>
    </row>
    <row r="498" spans="1:5" x14ac:dyDescent="0.25">
      <c r="A498" s="7"/>
      <c r="B498" s="7"/>
      <c r="C498" s="7"/>
      <c r="D498" s="7"/>
      <c r="E498" s="7"/>
    </row>
    <row r="499" spans="1:5" x14ac:dyDescent="0.25">
      <c r="A499" s="7"/>
      <c r="B499" s="7"/>
      <c r="C499" s="7"/>
      <c r="D499" s="7"/>
      <c r="E499" s="7"/>
    </row>
    <row r="500" spans="1:5" x14ac:dyDescent="0.25">
      <c r="A500" s="7"/>
      <c r="B500" s="7"/>
      <c r="C500" s="7"/>
      <c r="D500" s="7"/>
      <c r="E500" s="7"/>
    </row>
    <row r="501" spans="1:5" x14ac:dyDescent="0.25">
      <c r="A501" s="7"/>
      <c r="B501" s="7"/>
      <c r="C501" s="7"/>
      <c r="D501" s="7"/>
      <c r="E501" s="7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01"/>
  <sheetViews>
    <sheetView workbookViewId="0"/>
  </sheetViews>
  <sheetFormatPr defaultRowHeight="15" x14ac:dyDescent="0.25"/>
  <cols>
    <col min="10" max="10" width="7.42578125" customWidth="1"/>
    <col min="11" max="11" width="6.140625" customWidth="1"/>
    <col min="12" max="12" width="11.85546875" customWidth="1"/>
    <col min="14" max="14" width="7" customWidth="1"/>
    <col min="16" max="16" width="7.85546875" customWidth="1"/>
    <col min="17" max="17" width="7.42578125" customWidth="1"/>
    <col min="18" max="18" width="6" customWidth="1"/>
    <col min="20" max="20" width="8.42578125" customWidth="1"/>
  </cols>
  <sheetData>
    <row r="1" spans="1:21" x14ac:dyDescent="0.25">
      <c r="A1" s="14" t="s">
        <v>35</v>
      </c>
      <c r="B1" s="14">
        <v>27</v>
      </c>
      <c r="C1" s="14"/>
      <c r="D1" s="14"/>
      <c r="E1" s="14"/>
    </row>
    <row r="2" spans="1:21" x14ac:dyDescent="0.25">
      <c r="A2" s="14" t="s">
        <v>13</v>
      </c>
      <c r="B2" s="14">
        <v>50</v>
      </c>
      <c r="C2" s="14"/>
      <c r="D2" s="14"/>
      <c r="E2" s="14"/>
    </row>
    <row r="3" spans="1:21" x14ac:dyDescent="0.25">
      <c r="A3" s="14" t="s">
        <v>14</v>
      </c>
      <c r="B3" s="14">
        <v>50</v>
      </c>
      <c r="C3" s="14"/>
      <c r="D3" s="14"/>
      <c r="E3" s="14"/>
    </row>
    <row r="4" spans="1:21" x14ac:dyDescent="0.25">
      <c r="A4" s="14" t="s">
        <v>15</v>
      </c>
      <c r="B4" s="14">
        <v>100</v>
      </c>
      <c r="C4" s="14"/>
      <c r="D4" s="14"/>
      <c r="E4" s="14"/>
    </row>
    <row r="5" spans="1:21" x14ac:dyDescent="0.25">
      <c r="A5" s="14" t="s">
        <v>36</v>
      </c>
      <c r="B5" s="14">
        <v>0.1</v>
      </c>
      <c r="C5" s="14"/>
      <c r="D5" s="14"/>
      <c r="E5" s="14"/>
    </row>
    <row r="6" spans="1:21" x14ac:dyDescent="0.25">
      <c r="A6" s="14" t="s">
        <v>37</v>
      </c>
      <c r="B6" s="14">
        <v>350</v>
      </c>
      <c r="C6" s="14"/>
      <c r="D6" s="14"/>
      <c r="E6" s="14"/>
    </row>
    <row r="7" spans="1:21" x14ac:dyDescent="0.25">
      <c r="A7" s="14" t="s">
        <v>33</v>
      </c>
      <c r="B7" s="14">
        <v>28</v>
      </c>
      <c r="C7" s="14"/>
      <c r="D7" s="14"/>
      <c r="E7" s="14"/>
    </row>
    <row r="8" spans="1:21" x14ac:dyDescent="0.25">
      <c r="A8" s="14" t="s">
        <v>19</v>
      </c>
      <c r="B8" s="14"/>
      <c r="C8" s="14"/>
      <c r="D8" s="14"/>
      <c r="E8" s="14"/>
    </row>
    <row r="9" spans="1:21" x14ac:dyDescent="0.25">
      <c r="A9" s="14" t="s">
        <v>20</v>
      </c>
      <c r="B9" s="14"/>
      <c r="C9" s="14"/>
      <c r="D9" s="14"/>
      <c r="E9" s="14"/>
    </row>
    <row r="10" spans="1:21" x14ac:dyDescent="0.25">
      <c r="A10" s="14" t="s">
        <v>21</v>
      </c>
      <c r="B10" s="14" t="s">
        <v>22</v>
      </c>
      <c r="C10" s="14" t="s">
        <v>23</v>
      </c>
      <c r="D10" s="14" t="s">
        <v>24</v>
      </c>
      <c r="E10" s="14" t="s">
        <v>25</v>
      </c>
      <c r="F10" t="s">
        <v>26</v>
      </c>
      <c r="G10" t="s">
        <v>27</v>
      </c>
      <c r="H10" t="s">
        <v>28</v>
      </c>
      <c r="J10" s="8" t="s">
        <v>29</v>
      </c>
      <c r="K10" s="8" t="s">
        <v>30</v>
      </c>
      <c r="L10" s="8" t="s">
        <v>31</v>
      </c>
      <c r="M10" s="8" t="s">
        <v>32</v>
      </c>
      <c r="N10" s="8" t="s">
        <v>33</v>
      </c>
      <c r="O10" s="8" t="s">
        <v>34</v>
      </c>
      <c r="P10" s="8" t="str">
        <f t="shared" ref="P10:U10" si="0">C10</f>
        <v>P, dBm</v>
      </c>
      <c r="Q10" s="8" t="str">
        <f t="shared" si="0"/>
        <v>IG, mA</v>
      </c>
      <c r="R10" s="8" t="str">
        <f t="shared" si="0"/>
        <v>ID, A</v>
      </c>
      <c r="S10" s="8" t="str">
        <f t="shared" si="0"/>
        <v>Gain, dB</v>
      </c>
      <c r="T10" s="8" t="str">
        <f t="shared" si="0"/>
        <v> ѕƒ, %</v>
      </c>
      <c r="U10" s="8" t="str">
        <f t="shared" si="0"/>
        <v>Pвых, W</v>
      </c>
    </row>
    <row r="11" spans="1:21" x14ac:dyDescent="0.25">
      <c r="A11" s="14">
        <v>1</v>
      </c>
      <c r="B11" s="14">
        <v>500000000</v>
      </c>
      <c r="C11" s="14">
        <v>39.382375000000003</v>
      </c>
      <c r="D11" s="14">
        <v>-1.22E-4</v>
      </c>
      <c r="E11" s="14">
        <v>0.51798500000000003</v>
      </c>
      <c r="F11">
        <v>12.382375</v>
      </c>
      <c r="G11">
        <v>56.352755999999999</v>
      </c>
      <c r="H11">
        <v>8.6743609999999993</v>
      </c>
      <c r="J11" s="8">
        <v>0</v>
      </c>
      <c r="K11" s="8">
        <v>1</v>
      </c>
      <c r="L11" s="8">
        <v>0</v>
      </c>
      <c r="M11" s="8">
        <v>0</v>
      </c>
      <c r="N11" s="8">
        <f>B7</f>
        <v>28</v>
      </c>
      <c r="O11" s="9">
        <f>(10^(B1/10))/1000</f>
        <v>0.50118723362727269</v>
      </c>
      <c r="P11" s="9">
        <v>39.382375000000003</v>
      </c>
      <c r="Q11" s="9">
        <v>-1.22E-4</v>
      </c>
      <c r="R11" s="9">
        <v>0.51798500000000003</v>
      </c>
      <c r="S11" s="9">
        <v>12.382375</v>
      </c>
      <c r="T11" s="9">
        <v>56.352755999999999</v>
      </c>
      <c r="U11" s="9">
        <v>8.6743609999999993</v>
      </c>
    </row>
    <row r="12" spans="1:21" x14ac:dyDescent="0.25">
      <c r="A12" s="14">
        <v>2</v>
      </c>
      <c r="B12" s="14">
        <v>600000000</v>
      </c>
      <c r="C12" s="14">
        <v>39.366771</v>
      </c>
      <c r="D12" s="14">
        <v>-1.2E-4</v>
      </c>
      <c r="E12" s="14">
        <v>0.493286</v>
      </c>
      <c r="F12">
        <v>12.366771</v>
      </c>
      <c r="G12">
        <v>58.949216999999997</v>
      </c>
      <c r="H12">
        <v>8.6432509999999994</v>
      </c>
      <c r="J12" s="8">
        <v>0</v>
      </c>
      <c r="K12" s="8">
        <f t="shared" ref="K12:K43" si="1">K11</f>
        <v>1</v>
      </c>
      <c r="L12" s="8">
        <f t="shared" ref="L12:L43" si="2">L11</f>
        <v>0</v>
      </c>
      <c r="M12" s="8">
        <f t="shared" ref="M12:M43" si="3">M11</f>
        <v>0</v>
      </c>
      <c r="N12" s="8">
        <f t="shared" ref="N12:N43" si="4">N11</f>
        <v>28</v>
      </c>
      <c r="O12" s="9">
        <f t="shared" ref="O12:O43" si="5">O11</f>
        <v>0.50118723362727269</v>
      </c>
      <c r="P12" s="9">
        <v>39.366771</v>
      </c>
      <c r="Q12" s="9">
        <v>-1.2E-4</v>
      </c>
      <c r="R12" s="9">
        <v>0.493286</v>
      </c>
      <c r="S12" s="9">
        <v>12.366771</v>
      </c>
      <c r="T12" s="9">
        <v>58.949216999999997</v>
      </c>
      <c r="U12" s="9">
        <v>8.6432509999999994</v>
      </c>
    </row>
    <row r="13" spans="1:21" x14ac:dyDescent="0.25">
      <c r="A13" s="14">
        <v>3</v>
      </c>
      <c r="B13" s="14">
        <v>700000000</v>
      </c>
      <c r="C13" s="14">
        <v>39.289048999999999</v>
      </c>
      <c r="D13" s="14">
        <v>3.1799999999999998E-4</v>
      </c>
      <c r="E13" s="14">
        <v>0.49906299999999998</v>
      </c>
      <c r="F13">
        <v>12.289049</v>
      </c>
      <c r="G13">
        <v>57.169685999999999</v>
      </c>
      <c r="H13">
        <v>8.4899450000000005</v>
      </c>
      <c r="J13" s="8">
        <v>0</v>
      </c>
      <c r="K13" s="8">
        <f t="shared" si="1"/>
        <v>1</v>
      </c>
      <c r="L13" s="8">
        <f t="shared" si="2"/>
        <v>0</v>
      </c>
      <c r="M13" s="8">
        <f t="shared" si="3"/>
        <v>0</v>
      </c>
      <c r="N13" s="8">
        <f t="shared" si="4"/>
        <v>28</v>
      </c>
      <c r="O13" s="9">
        <f t="shared" si="5"/>
        <v>0.50118723362727269</v>
      </c>
      <c r="P13" s="9">
        <v>39.289048999999999</v>
      </c>
      <c r="Q13" s="9">
        <v>3.1799999999999998E-4</v>
      </c>
      <c r="R13" s="9">
        <v>0.49906299999999998</v>
      </c>
      <c r="S13" s="9">
        <v>12.289049</v>
      </c>
      <c r="T13" s="9">
        <v>57.169685999999999</v>
      </c>
      <c r="U13" s="9">
        <v>8.4899450000000005</v>
      </c>
    </row>
    <row r="14" spans="1:21" x14ac:dyDescent="0.25">
      <c r="A14" s="14">
        <v>4</v>
      </c>
      <c r="B14" s="14">
        <v>800000000</v>
      </c>
      <c r="C14" s="14">
        <v>39.619725000000003</v>
      </c>
      <c r="D14" s="14">
        <v>6.7999999999999999E-5</v>
      </c>
      <c r="E14" s="14">
        <v>0.53835100000000002</v>
      </c>
      <c r="F14">
        <v>12.619725000000001</v>
      </c>
      <c r="G14">
        <v>57.453453000000003</v>
      </c>
      <c r="H14">
        <v>9.1616239999999998</v>
      </c>
      <c r="J14" s="8">
        <v>0</v>
      </c>
      <c r="K14" s="8">
        <f t="shared" si="1"/>
        <v>1</v>
      </c>
      <c r="L14" s="8">
        <f t="shared" si="2"/>
        <v>0</v>
      </c>
      <c r="M14" s="8">
        <f t="shared" si="3"/>
        <v>0</v>
      </c>
      <c r="N14" s="8">
        <f t="shared" si="4"/>
        <v>28</v>
      </c>
      <c r="O14" s="9">
        <f t="shared" si="5"/>
        <v>0.50118723362727269</v>
      </c>
      <c r="P14" s="9">
        <v>39.619725000000003</v>
      </c>
      <c r="Q14" s="9">
        <v>6.7999999999999999E-5</v>
      </c>
      <c r="R14" s="9">
        <v>0.53835100000000002</v>
      </c>
      <c r="S14" s="9">
        <v>12.619725000000001</v>
      </c>
      <c r="T14" s="9">
        <v>57.453453000000003</v>
      </c>
      <c r="U14" s="9">
        <v>9.1616239999999998</v>
      </c>
    </row>
    <row r="15" spans="1:21" x14ac:dyDescent="0.25">
      <c r="A15" s="14">
        <v>5</v>
      </c>
      <c r="B15" s="14">
        <v>900000000</v>
      </c>
      <c r="C15" s="14">
        <v>39.806787999999997</v>
      </c>
      <c r="D15" s="14">
        <v>1.3999999999999999E-4</v>
      </c>
      <c r="E15" s="14">
        <v>0.54976499999999995</v>
      </c>
      <c r="F15">
        <v>12.806787999999999</v>
      </c>
      <c r="G15">
        <v>58.880178999999998</v>
      </c>
      <c r="H15">
        <v>9.564864</v>
      </c>
      <c r="J15" s="8">
        <v>0</v>
      </c>
      <c r="K15" s="8">
        <f t="shared" si="1"/>
        <v>1</v>
      </c>
      <c r="L15" s="8">
        <f t="shared" si="2"/>
        <v>0</v>
      </c>
      <c r="M15" s="8">
        <f t="shared" si="3"/>
        <v>0</v>
      </c>
      <c r="N15" s="8">
        <f t="shared" si="4"/>
        <v>28</v>
      </c>
      <c r="O15" s="9">
        <f t="shared" si="5"/>
        <v>0.50118723362727269</v>
      </c>
      <c r="P15" s="9">
        <v>39.806787999999997</v>
      </c>
      <c r="Q15" s="9">
        <v>1.3999999999999999E-4</v>
      </c>
      <c r="R15" s="9">
        <v>0.54976499999999995</v>
      </c>
      <c r="S15" s="9">
        <v>12.806787999999999</v>
      </c>
      <c r="T15" s="9">
        <v>58.880178999999998</v>
      </c>
      <c r="U15" s="9">
        <v>9.564864</v>
      </c>
    </row>
    <row r="16" spans="1:21" x14ac:dyDescent="0.25">
      <c r="A16" s="14">
        <v>6</v>
      </c>
      <c r="B16" s="14">
        <v>1000000000</v>
      </c>
      <c r="C16" s="14">
        <v>39.812635</v>
      </c>
      <c r="D16" s="14">
        <v>-3.3100000000000002E-4</v>
      </c>
      <c r="E16" s="14">
        <v>0.57337400000000005</v>
      </c>
      <c r="F16">
        <v>12.812635</v>
      </c>
      <c r="G16">
        <v>56.536020999999998</v>
      </c>
      <c r="H16">
        <v>9.57775</v>
      </c>
      <c r="J16" s="8">
        <v>0</v>
      </c>
      <c r="K16" s="8">
        <f t="shared" si="1"/>
        <v>1</v>
      </c>
      <c r="L16" s="8">
        <f t="shared" si="2"/>
        <v>0</v>
      </c>
      <c r="M16" s="8">
        <f t="shared" si="3"/>
        <v>0</v>
      </c>
      <c r="N16" s="8">
        <f t="shared" si="4"/>
        <v>28</v>
      </c>
      <c r="O16" s="9">
        <f t="shared" si="5"/>
        <v>0.50118723362727269</v>
      </c>
      <c r="P16" s="9">
        <v>39.812635</v>
      </c>
      <c r="Q16" s="9">
        <v>-3.3100000000000002E-4</v>
      </c>
      <c r="R16" s="9">
        <v>0.57337400000000005</v>
      </c>
      <c r="S16" s="9">
        <v>12.812635</v>
      </c>
      <c r="T16" s="9">
        <v>56.536020999999998</v>
      </c>
      <c r="U16" s="9">
        <v>9.57775</v>
      </c>
    </row>
    <row r="17" spans="1:21" x14ac:dyDescent="0.25">
      <c r="A17" s="14">
        <v>7</v>
      </c>
      <c r="B17" s="14">
        <v>1100000000</v>
      </c>
      <c r="C17" s="14">
        <v>39.725521999999998</v>
      </c>
      <c r="D17" s="14">
        <v>2.6999999999999999E-5</v>
      </c>
      <c r="E17" s="14">
        <v>0.57243100000000002</v>
      </c>
      <c r="F17">
        <v>12.725522</v>
      </c>
      <c r="G17">
        <v>55.442489000000002</v>
      </c>
      <c r="H17">
        <v>9.3875489999999999</v>
      </c>
      <c r="J17" s="8">
        <v>0</v>
      </c>
      <c r="K17" s="8">
        <f t="shared" si="1"/>
        <v>1</v>
      </c>
      <c r="L17" s="8">
        <f t="shared" si="2"/>
        <v>0</v>
      </c>
      <c r="M17" s="8">
        <f t="shared" si="3"/>
        <v>0</v>
      </c>
      <c r="N17" s="8">
        <f t="shared" si="4"/>
        <v>28</v>
      </c>
      <c r="O17" s="9">
        <f t="shared" si="5"/>
        <v>0.50118723362727269</v>
      </c>
      <c r="P17" s="9">
        <v>39.725521999999998</v>
      </c>
      <c r="Q17" s="9">
        <v>2.6999999999999999E-5</v>
      </c>
      <c r="R17" s="9">
        <v>0.57243100000000002</v>
      </c>
      <c r="S17" s="9">
        <v>12.725522</v>
      </c>
      <c r="T17" s="9">
        <v>55.442489000000002</v>
      </c>
      <c r="U17" s="9">
        <v>9.3875489999999999</v>
      </c>
    </row>
    <row r="18" spans="1:21" x14ac:dyDescent="0.25">
      <c r="A18" s="14">
        <v>8</v>
      </c>
      <c r="B18" s="14">
        <v>1200000000</v>
      </c>
      <c r="C18" s="14">
        <v>39.374186000000002</v>
      </c>
      <c r="D18" s="14">
        <v>-1.15E-4</v>
      </c>
      <c r="E18" s="14">
        <v>0.59110499999999999</v>
      </c>
      <c r="F18">
        <v>12.374186</v>
      </c>
      <c r="G18">
        <v>49.283172</v>
      </c>
      <c r="H18">
        <v>8.6580209999999997</v>
      </c>
      <c r="J18" s="8">
        <v>0</v>
      </c>
      <c r="K18" s="8">
        <f t="shared" si="1"/>
        <v>1</v>
      </c>
      <c r="L18" s="8">
        <f t="shared" si="2"/>
        <v>0</v>
      </c>
      <c r="M18" s="8">
        <f t="shared" si="3"/>
        <v>0</v>
      </c>
      <c r="N18" s="8">
        <f t="shared" si="4"/>
        <v>28</v>
      </c>
      <c r="O18" s="9">
        <f t="shared" si="5"/>
        <v>0.50118723362727269</v>
      </c>
      <c r="P18" s="9">
        <v>39.374186000000002</v>
      </c>
      <c r="Q18" s="9">
        <v>-1.15E-4</v>
      </c>
      <c r="R18" s="9">
        <v>0.59110499999999999</v>
      </c>
      <c r="S18" s="9">
        <v>12.374186</v>
      </c>
      <c r="T18" s="9">
        <v>49.283172</v>
      </c>
      <c r="U18" s="9">
        <v>8.6580209999999997</v>
      </c>
    </row>
    <row r="19" spans="1:21" x14ac:dyDescent="0.25">
      <c r="A19" s="14">
        <v>9</v>
      </c>
      <c r="B19" s="14">
        <v>1300000000</v>
      </c>
      <c r="C19" s="14">
        <v>39.423717000000003</v>
      </c>
      <c r="D19" s="14">
        <v>-4.1899999999999999E-4</v>
      </c>
      <c r="E19" s="14">
        <v>0.63044199999999995</v>
      </c>
      <c r="F19">
        <v>12.423717</v>
      </c>
      <c r="G19">
        <v>46.770688999999997</v>
      </c>
      <c r="H19">
        <v>8.7573290000000004</v>
      </c>
      <c r="J19" s="8">
        <v>0</v>
      </c>
      <c r="K19" s="8">
        <f t="shared" si="1"/>
        <v>1</v>
      </c>
      <c r="L19" s="8">
        <f t="shared" si="2"/>
        <v>0</v>
      </c>
      <c r="M19" s="8">
        <f t="shared" si="3"/>
        <v>0</v>
      </c>
      <c r="N19" s="8">
        <f t="shared" si="4"/>
        <v>28</v>
      </c>
      <c r="O19" s="9">
        <f t="shared" si="5"/>
        <v>0.50118723362727269</v>
      </c>
      <c r="P19" s="9">
        <v>39.423717000000003</v>
      </c>
      <c r="Q19" s="9">
        <v>-4.1899999999999999E-4</v>
      </c>
      <c r="R19" s="9">
        <v>0.63044199999999995</v>
      </c>
      <c r="S19" s="9">
        <v>12.423717</v>
      </c>
      <c r="T19" s="9">
        <v>46.770688999999997</v>
      </c>
      <c r="U19" s="9">
        <v>8.7573290000000004</v>
      </c>
    </row>
    <row r="20" spans="1:21" x14ac:dyDescent="0.25">
      <c r="A20" s="14">
        <v>10</v>
      </c>
      <c r="B20" s="14">
        <v>1400000000</v>
      </c>
      <c r="C20" s="14">
        <v>39.418515999999997</v>
      </c>
      <c r="D20" s="14">
        <v>-4.4299999999999998E-4</v>
      </c>
      <c r="E20" s="14">
        <v>0.64310699999999998</v>
      </c>
      <c r="F20">
        <v>12.418516</v>
      </c>
      <c r="G20">
        <v>45.791435999999997</v>
      </c>
      <c r="H20">
        <v>8.746848</v>
      </c>
      <c r="J20" s="8">
        <v>0</v>
      </c>
      <c r="K20" s="8">
        <f t="shared" si="1"/>
        <v>1</v>
      </c>
      <c r="L20" s="8">
        <f t="shared" si="2"/>
        <v>0</v>
      </c>
      <c r="M20" s="8">
        <f t="shared" si="3"/>
        <v>0</v>
      </c>
      <c r="N20" s="8">
        <f t="shared" si="4"/>
        <v>28</v>
      </c>
      <c r="O20" s="9">
        <f t="shared" si="5"/>
        <v>0.50118723362727269</v>
      </c>
      <c r="P20" s="9">
        <v>39.418515999999997</v>
      </c>
      <c r="Q20" s="9">
        <v>-4.4299999999999998E-4</v>
      </c>
      <c r="R20" s="9">
        <v>0.64310699999999998</v>
      </c>
      <c r="S20" s="9">
        <v>12.418516</v>
      </c>
      <c r="T20" s="9">
        <v>45.791435999999997</v>
      </c>
      <c r="U20" s="9">
        <v>8.746848</v>
      </c>
    </row>
    <row r="21" spans="1:21" x14ac:dyDescent="0.25">
      <c r="A21" s="14">
        <v>11</v>
      </c>
      <c r="B21" s="14">
        <v>1500000000</v>
      </c>
      <c r="C21" s="14">
        <v>39.348883000000001</v>
      </c>
      <c r="D21" s="14">
        <v>-2.4000000000000001E-4</v>
      </c>
      <c r="E21" s="14">
        <v>0.65504600000000002</v>
      </c>
      <c r="F21">
        <v>12.348883000000001</v>
      </c>
      <c r="G21">
        <v>44.198300000000003</v>
      </c>
      <c r="H21">
        <v>8.6077239999999993</v>
      </c>
      <c r="J21" s="8">
        <v>0</v>
      </c>
      <c r="K21" s="8">
        <f t="shared" si="1"/>
        <v>1</v>
      </c>
      <c r="L21" s="8">
        <f t="shared" si="2"/>
        <v>0</v>
      </c>
      <c r="M21" s="8">
        <f t="shared" si="3"/>
        <v>0</v>
      </c>
      <c r="N21" s="8">
        <f t="shared" si="4"/>
        <v>28</v>
      </c>
      <c r="O21" s="9">
        <f t="shared" si="5"/>
        <v>0.50118723362727269</v>
      </c>
      <c r="P21" s="9">
        <v>39.348883000000001</v>
      </c>
      <c r="Q21" s="9">
        <v>-2.4000000000000001E-4</v>
      </c>
      <c r="R21" s="9">
        <v>0.65504600000000002</v>
      </c>
      <c r="S21" s="9">
        <v>12.348883000000001</v>
      </c>
      <c r="T21" s="9">
        <v>44.198300000000003</v>
      </c>
      <c r="U21" s="9">
        <v>8.6077239999999993</v>
      </c>
    </row>
    <row r="22" spans="1:21" x14ac:dyDescent="0.25">
      <c r="A22" s="14">
        <v>12</v>
      </c>
      <c r="B22" s="14">
        <v>1600000000</v>
      </c>
      <c r="C22" s="14">
        <v>39.248170999999999</v>
      </c>
      <c r="D22" s="14">
        <v>-2.9500000000000001E-4</v>
      </c>
      <c r="E22" s="14">
        <v>0.67415599999999998</v>
      </c>
      <c r="F22">
        <v>12.248170999999999</v>
      </c>
      <c r="G22">
        <v>41.900098</v>
      </c>
      <c r="H22">
        <v>8.4104080000000003</v>
      </c>
      <c r="J22" s="8">
        <v>0</v>
      </c>
      <c r="K22" s="8">
        <f t="shared" si="1"/>
        <v>1</v>
      </c>
      <c r="L22" s="8">
        <f t="shared" si="2"/>
        <v>0</v>
      </c>
      <c r="M22" s="8">
        <f t="shared" si="3"/>
        <v>0</v>
      </c>
      <c r="N22" s="8">
        <f t="shared" si="4"/>
        <v>28</v>
      </c>
      <c r="O22" s="9">
        <f t="shared" si="5"/>
        <v>0.50118723362727269</v>
      </c>
      <c r="P22" s="9">
        <v>39.248170999999999</v>
      </c>
      <c r="Q22" s="9">
        <v>-2.9500000000000001E-4</v>
      </c>
      <c r="R22" s="9">
        <v>0.67415599999999998</v>
      </c>
      <c r="S22" s="9">
        <v>12.248170999999999</v>
      </c>
      <c r="T22" s="9">
        <v>41.900098</v>
      </c>
      <c r="U22" s="9">
        <v>8.4104080000000003</v>
      </c>
    </row>
    <row r="23" spans="1:21" x14ac:dyDescent="0.25">
      <c r="A23" s="14">
        <v>13</v>
      </c>
      <c r="B23" s="14">
        <v>1700000000</v>
      </c>
      <c r="C23" s="14">
        <v>39.241689000000001</v>
      </c>
      <c r="D23" s="14">
        <v>-2.9E-4</v>
      </c>
      <c r="E23" s="14">
        <v>0.66640200000000005</v>
      </c>
      <c r="F23">
        <v>12.241688999999999</v>
      </c>
      <c r="G23">
        <v>42.320447999999999</v>
      </c>
      <c r="H23">
        <v>8.3978649999999995</v>
      </c>
      <c r="J23" s="8">
        <v>0</v>
      </c>
      <c r="K23" s="8">
        <f t="shared" si="1"/>
        <v>1</v>
      </c>
      <c r="L23" s="8">
        <f t="shared" si="2"/>
        <v>0</v>
      </c>
      <c r="M23" s="8">
        <f t="shared" si="3"/>
        <v>0</v>
      </c>
      <c r="N23" s="8">
        <f t="shared" si="4"/>
        <v>28</v>
      </c>
      <c r="O23" s="9">
        <f t="shared" si="5"/>
        <v>0.50118723362727269</v>
      </c>
      <c r="P23" s="9">
        <v>39.241689000000001</v>
      </c>
      <c r="Q23" s="9">
        <v>-2.9E-4</v>
      </c>
      <c r="R23" s="9">
        <v>0.66640200000000005</v>
      </c>
      <c r="S23" s="9">
        <v>12.241688999999999</v>
      </c>
      <c r="T23" s="9">
        <v>42.320447999999999</v>
      </c>
      <c r="U23" s="9">
        <v>8.3978649999999995</v>
      </c>
    </row>
    <row r="24" spans="1:21" x14ac:dyDescent="0.25">
      <c r="A24" s="14">
        <v>14</v>
      </c>
      <c r="B24" s="14">
        <v>1800000000</v>
      </c>
      <c r="C24" s="14">
        <v>39.514902999999997</v>
      </c>
      <c r="D24" s="14">
        <v>-1.7699999999999999E-4</v>
      </c>
      <c r="E24" s="14">
        <v>0.64867799999999998</v>
      </c>
      <c r="F24">
        <v>12.514903</v>
      </c>
      <c r="G24">
        <v>46.478917000000003</v>
      </c>
      <c r="H24">
        <v>8.9431449999999995</v>
      </c>
      <c r="J24" s="8">
        <v>0</v>
      </c>
      <c r="K24" s="8">
        <f t="shared" si="1"/>
        <v>1</v>
      </c>
      <c r="L24" s="8">
        <f t="shared" si="2"/>
        <v>0</v>
      </c>
      <c r="M24" s="8">
        <f t="shared" si="3"/>
        <v>0</v>
      </c>
      <c r="N24" s="8">
        <f t="shared" si="4"/>
        <v>28</v>
      </c>
      <c r="O24" s="9">
        <f t="shared" si="5"/>
        <v>0.50118723362727269</v>
      </c>
      <c r="P24" s="9">
        <v>39.514902999999997</v>
      </c>
      <c r="Q24" s="9">
        <v>-1.7699999999999999E-4</v>
      </c>
      <c r="R24" s="9">
        <v>0.64867799999999998</v>
      </c>
      <c r="S24" s="9">
        <v>12.514903</v>
      </c>
      <c r="T24" s="9">
        <v>46.478917000000003</v>
      </c>
      <c r="U24" s="9">
        <v>8.9431449999999995</v>
      </c>
    </row>
    <row r="25" spans="1:21" x14ac:dyDescent="0.25">
      <c r="A25" s="14">
        <v>15</v>
      </c>
      <c r="B25" s="14">
        <v>1900000000</v>
      </c>
      <c r="C25" s="14">
        <v>39.565972000000002</v>
      </c>
      <c r="D25" s="14">
        <v>-5.9599999999999996E-4</v>
      </c>
      <c r="E25" s="14">
        <v>0.60949600000000004</v>
      </c>
      <c r="F25">
        <v>12.565972</v>
      </c>
      <c r="G25">
        <v>50.086720999999997</v>
      </c>
      <c r="H25">
        <v>9.0489289999999993</v>
      </c>
      <c r="J25" s="8">
        <v>0</v>
      </c>
      <c r="K25" s="8">
        <f t="shared" si="1"/>
        <v>1</v>
      </c>
      <c r="L25" s="8">
        <f t="shared" si="2"/>
        <v>0</v>
      </c>
      <c r="M25" s="8">
        <f t="shared" si="3"/>
        <v>0</v>
      </c>
      <c r="N25" s="8">
        <f t="shared" si="4"/>
        <v>28</v>
      </c>
      <c r="O25" s="9">
        <f t="shared" si="5"/>
        <v>0.50118723362727269</v>
      </c>
      <c r="P25" s="9">
        <v>39.565972000000002</v>
      </c>
      <c r="Q25" s="9">
        <v>-5.9599999999999996E-4</v>
      </c>
      <c r="R25" s="9">
        <v>0.60949600000000004</v>
      </c>
      <c r="S25" s="9">
        <v>12.565972</v>
      </c>
      <c r="T25" s="9">
        <v>50.086720999999997</v>
      </c>
      <c r="U25" s="9">
        <v>9.0489289999999993</v>
      </c>
    </row>
    <row r="26" spans="1:21" x14ac:dyDescent="0.25">
      <c r="A26" s="14">
        <v>16</v>
      </c>
      <c r="B26" s="14">
        <v>2000000000</v>
      </c>
      <c r="C26" s="14">
        <v>39.786982000000002</v>
      </c>
      <c r="D26" s="14">
        <v>-2.6699999999999998E-4</v>
      </c>
      <c r="E26" s="14">
        <v>0.61144200000000004</v>
      </c>
      <c r="F26">
        <v>12.786982</v>
      </c>
      <c r="G26">
        <v>52.686629000000003</v>
      </c>
      <c r="H26">
        <v>9.5213420000000006</v>
      </c>
      <c r="J26" s="8">
        <v>0</v>
      </c>
      <c r="K26" s="8">
        <f t="shared" si="1"/>
        <v>1</v>
      </c>
      <c r="L26" s="8">
        <f t="shared" si="2"/>
        <v>0</v>
      </c>
      <c r="M26" s="8">
        <f t="shared" si="3"/>
        <v>0</v>
      </c>
      <c r="N26" s="8">
        <f t="shared" si="4"/>
        <v>28</v>
      </c>
      <c r="O26" s="9">
        <f t="shared" si="5"/>
        <v>0.50118723362727269</v>
      </c>
      <c r="P26" s="9">
        <v>39.786982000000002</v>
      </c>
      <c r="Q26" s="9">
        <v>-2.6699999999999998E-4</v>
      </c>
      <c r="R26" s="9">
        <v>0.61144200000000004</v>
      </c>
      <c r="S26" s="9">
        <v>12.786982</v>
      </c>
      <c r="T26" s="9">
        <v>52.686629000000003</v>
      </c>
      <c r="U26" s="9">
        <v>9.5213420000000006</v>
      </c>
    </row>
    <row r="27" spans="1:21" x14ac:dyDescent="0.25">
      <c r="A27" s="14">
        <v>17</v>
      </c>
      <c r="B27" s="14">
        <v>2100000000</v>
      </c>
      <c r="C27" s="14">
        <v>40.005346000000003</v>
      </c>
      <c r="D27" s="14">
        <v>-2.03E-4</v>
      </c>
      <c r="E27" s="14">
        <v>0.61895</v>
      </c>
      <c r="F27">
        <v>13.005345999999999</v>
      </c>
      <c r="G27">
        <v>54.880575999999998</v>
      </c>
      <c r="H27">
        <v>10.012318</v>
      </c>
      <c r="J27" s="8">
        <v>0</v>
      </c>
      <c r="K27" s="8">
        <f t="shared" si="1"/>
        <v>1</v>
      </c>
      <c r="L27" s="8">
        <f t="shared" si="2"/>
        <v>0</v>
      </c>
      <c r="M27" s="8">
        <f t="shared" si="3"/>
        <v>0</v>
      </c>
      <c r="N27" s="8">
        <f t="shared" si="4"/>
        <v>28</v>
      </c>
      <c r="O27" s="9">
        <f t="shared" si="5"/>
        <v>0.50118723362727269</v>
      </c>
      <c r="P27" s="9">
        <v>40.005346000000003</v>
      </c>
      <c r="Q27" s="9">
        <v>-2.03E-4</v>
      </c>
      <c r="R27" s="9">
        <v>0.61895</v>
      </c>
      <c r="S27" s="9">
        <v>13.005345999999999</v>
      </c>
      <c r="T27" s="9">
        <v>54.880575999999998</v>
      </c>
      <c r="U27" s="9">
        <v>10.012318</v>
      </c>
    </row>
    <row r="28" spans="1:21" x14ac:dyDescent="0.25">
      <c r="A28" s="14">
        <v>18</v>
      </c>
      <c r="B28" s="14">
        <v>2200000000</v>
      </c>
      <c r="C28" s="14">
        <v>39.821392000000003</v>
      </c>
      <c r="D28" s="14">
        <v>-3.1599999999999998E-4</v>
      </c>
      <c r="E28" s="14">
        <v>0.60870899999999994</v>
      </c>
      <c r="F28">
        <v>12.821391999999999</v>
      </c>
      <c r="G28">
        <v>53.367601999999998</v>
      </c>
      <c r="H28">
        <v>9.5970809999999993</v>
      </c>
      <c r="J28" s="8">
        <v>0</v>
      </c>
      <c r="K28" s="8">
        <f t="shared" si="1"/>
        <v>1</v>
      </c>
      <c r="L28" s="8">
        <f t="shared" si="2"/>
        <v>0</v>
      </c>
      <c r="M28" s="8">
        <f t="shared" si="3"/>
        <v>0</v>
      </c>
      <c r="N28" s="8">
        <f t="shared" si="4"/>
        <v>28</v>
      </c>
      <c r="O28" s="9">
        <f t="shared" si="5"/>
        <v>0.50118723362727269</v>
      </c>
      <c r="P28" s="9">
        <v>39.821392000000003</v>
      </c>
      <c r="Q28" s="9">
        <v>-3.1599999999999998E-4</v>
      </c>
      <c r="R28" s="9">
        <v>0.60870899999999994</v>
      </c>
      <c r="S28" s="9">
        <v>12.821391999999999</v>
      </c>
      <c r="T28" s="9">
        <v>53.367601999999998</v>
      </c>
      <c r="U28" s="9">
        <v>9.5970809999999993</v>
      </c>
    </row>
    <row r="29" spans="1:21" x14ac:dyDescent="0.25">
      <c r="A29" s="14">
        <v>19</v>
      </c>
      <c r="B29" s="14">
        <v>2300000000</v>
      </c>
      <c r="C29" s="14">
        <v>40.023848000000001</v>
      </c>
      <c r="D29" s="14">
        <v>-3.0899999999999998E-4</v>
      </c>
      <c r="E29" s="14">
        <v>0.65160799999999997</v>
      </c>
      <c r="F29">
        <v>13.023847999999999</v>
      </c>
      <c r="G29">
        <v>52.364263999999999</v>
      </c>
      <c r="H29">
        <v>10.055064</v>
      </c>
      <c r="J29" s="8">
        <v>0</v>
      </c>
      <c r="K29" s="8">
        <f t="shared" si="1"/>
        <v>1</v>
      </c>
      <c r="L29" s="8">
        <f t="shared" si="2"/>
        <v>0</v>
      </c>
      <c r="M29" s="8">
        <f t="shared" si="3"/>
        <v>0</v>
      </c>
      <c r="N29" s="8">
        <f t="shared" si="4"/>
        <v>28</v>
      </c>
      <c r="O29" s="9">
        <f t="shared" si="5"/>
        <v>0.50118723362727269</v>
      </c>
      <c r="P29" s="9">
        <v>40.023848000000001</v>
      </c>
      <c r="Q29" s="9">
        <v>-3.0899999999999998E-4</v>
      </c>
      <c r="R29" s="9">
        <v>0.65160799999999997</v>
      </c>
      <c r="S29" s="9">
        <v>13.023847999999999</v>
      </c>
      <c r="T29" s="9">
        <v>52.364263999999999</v>
      </c>
      <c r="U29" s="9">
        <v>10.055064</v>
      </c>
    </row>
    <row r="30" spans="1:21" x14ac:dyDescent="0.25">
      <c r="A30" s="14">
        <v>20</v>
      </c>
      <c r="B30" s="14">
        <v>2400000000</v>
      </c>
      <c r="C30" s="14">
        <v>39.888354999999997</v>
      </c>
      <c r="D30" s="14">
        <v>-2.1800000000000001E-4</v>
      </c>
      <c r="E30" s="14">
        <v>0.65821099999999999</v>
      </c>
      <c r="F30">
        <v>12.888355000000001</v>
      </c>
      <c r="G30">
        <v>50.163096000000003</v>
      </c>
      <c r="H30">
        <v>9.7462029999999995</v>
      </c>
      <c r="J30" s="8">
        <v>0</v>
      </c>
      <c r="K30" s="8">
        <f t="shared" si="1"/>
        <v>1</v>
      </c>
      <c r="L30" s="8">
        <f t="shared" si="2"/>
        <v>0</v>
      </c>
      <c r="M30" s="8">
        <f t="shared" si="3"/>
        <v>0</v>
      </c>
      <c r="N30" s="8">
        <f t="shared" si="4"/>
        <v>28</v>
      </c>
      <c r="O30" s="9">
        <f t="shared" si="5"/>
        <v>0.50118723362727269</v>
      </c>
      <c r="P30" s="9">
        <v>39.888354999999997</v>
      </c>
      <c r="Q30" s="9">
        <v>-2.1800000000000001E-4</v>
      </c>
      <c r="R30" s="9">
        <v>0.65821099999999999</v>
      </c>
      <c r="S30" s="9">
        <v>12.888355000000001</v>
      </c>
      <c r="T30" s="9">
        <v>50.163096000000003</v>
      </c>
      <c r="U30" s="9">
        <v>9.7462029999999995</v>
      </c>
    </row>
    <row r="31" spans="1:21" x14ac:dyDescent="0.25">
      <c r="A31" s="14">
        <v>21</v>
      </c>
      <c r="B31" s="14">
        <v>2500000000</v>
      </c>
      <c r="C31" s="14">
        <v>39.711281</v>
      </c>
      <c r="D31" s="14">
        <v>-3.2499999999999999E-4</v>
      </c>
      <c r="E31" s="14">
        <v>0.65773800000000004</v>
      </c>
      <c r="F31">
        <v>12.711281</v>
      </c>
      <c r="G31">
        <v>48.084854999999997</v>
      </c>
      <c r="H31">
        <v>9.3568149999999992</v>
      </c>
      <c r="J31" s="8">
        <v>0</v>
      </c>
      <c r="K31" s="8">
        <f t="shared" si="1"/>
        <v>1</v>
      </c>
      <c r="L31" s="8">
        <f t="shared" si="2"/>
        <v>0</v>
      </c>
      <c r="M31" s="8">
        <f t="shared" si="3"/>
        <v>0</v>
      </c>
      <c r="N31" s="8">
        <f t="shared" si="4"/>
        <v>28</v>
      </c>
      <c r="O31" s="9">
        <f t="shared" si="5"/>
        <v>0.50118723362727269</v>
      </c>
      <c r="P31" s="9">
        <v>39.711281</v>
      </c>
      <c r="Q31" s="9">
        <v>-3.2499999999999999E-4</v>
      </c>
      <c r="R31" s="9">
        <v>0.65773800000000004</v>
      </c>
      <c r="S31" s="9">
        <v>12.711281</v>
      </c>
      <c r="T31" s="9">
        <v>48.084854999999997</v>
      </c>
      <c r="U31" s="9">
        <v>9.3568149999999992</v>
      </c>
    </row>
    <row r="32" spans="1:21" x14ac:dyDescent="0.25">
      <c r="A32" s="14">
        <v>22</v>
      </c>
      <c r="B32" s="14">
        <v>2600000000</v>
      </c>
      <c r="C32" s="14">
        <v>39.677289999999999</v>
      </c>
      <c r="D32" s="14">
        <v>2.4000000000000001E-5</v>
      </c>
      <c r="E32" s="14">
        <v>0.65861999999999998</v>
      </c>
      <c r="F32">
        <v>12.677289999999999</v>
      </c>
      <c r="G32">
        <v>47.624927</v>
      </c>
      <c r="H32">
        <v>9.283868</v>
      </c>
      <c r="J32" s="8">
        <v>0</v>
      </c>
      <c r="K32" s="8">
        <f t="shared" si="1"/>
        <v>1</v>
      </c>
      <c r="L32" s="8">
        <f t="shared" si="2"/>
        <v>0</v>
      </c>
      <c r="M32" s="8">
        <f t="shared" si="3"/>
        <v>0</v>
      </c>
      <c r="N32" s="8">
        <f t="shared" si="4"/>
        <v>28</v>
      </c>
      <c r="O32" s="9">
        <f t="shared" si="5"/>
        <v>0.50118723362727269</v>
      </c>
      <c r="P32" s="9">
        <v>39.677289999999999</v>
      </c>
      <c r="Q32" s="9">
        <v>2.4000000000000001E-5</v>
      </c>
      <c r="R32" s="9">
        <v>0.65861999999999998</v>
      </c>
      <c r="S32" s="9">
        <v>12.677289999999999</v>
      </c>
      <c r="T32" s="9">
        <v>47.624927</v>
      </c>
      <c r="U32" s="9">
        <v>9.283868</v>
      </c>
    </row>
    <row r="33" spans="1:21" x14ac:dyDescent="0.25">
      <c r="A33" s="14">
        <v>23</v>
      </c>
      <c r="B33" s="14">
        <v>2700000000</v>
      </c>
      <c r="C33" s="14">
        <v>39.680582000000001</v>
      </c>
      <c r="D33" s="14">
        <v>-8.7999999999999998E-5</v>
      </c>
      <c r="E33" s="14">
        <v>0.68378300000000003</v>
      </c>
      <c r="F33">
        <v>12.680581999999999</v>
      </c>
      <c r="G33">
        <v>45.909095000000001</v>
      </c>
      <c r="H33">
        <v>9.2909089999999992</v>
      </c>
      <c r="J33" s="8">
        <v>0</v>
      </c>
      <c r="K33" s="8">
        <f t="shared" si="1"/>
        <v>1</v>
      </c>
      <c r="L33" s="8">
        <f t="shared" si="2"/>
        <v>0</v>
      </c>
      <c r="M33" s="8">
        <f t="shared" si="3"/>
        <v>0</v>
      </c>
      <c r="N33" s="8">
        <f t="shared" si="4"/>
        <v>28</v>
      </c>
      <c r="O33" s="9">
        <f t="shared" si="5"/>
        <v>0.50118723362727269</v>
      </c>
      <c r="P33" s="9">
        <v>39.680582000000001</v>
      </c>
      <c r="Q33" s="9">
        <v>-8.7999999999999998E-5</v>
      </c>
      <c r="R33" s="9">
        <v>0.68378300000000003</v>
      </c>
      <c r="S33" s="9">
        <v>12.680581999999999</v>
      </c>
      <c r="T33" s="9">
        <v>45.909095000000001</v>
      </c>
      <c r="U33" s="9">
        <v>9.2909089999999992</v>
      </c>
    </row>
    <row r="34" spans="1:21" x14ac:dyDescent="0.25">
      <c r="A34" s="14">
        <v>24</v>
      </c>
      <c r="B34" s="14">
        <v>2800000000</v>
      </c>
      <c r="C34" s="14">
        <v>39.271358999999997</v>
      </c>
      <c r="D34" s="14">
        <v>-1.2400000000000001E-4</v>
      </c>
      <c r="E34" s="14">
        <v>0.70133999999999996</v>
      </c>
      <c r="F34">
        <v>12.271359</v>
      </c>
      <c r="G34">
        <v>40.505330000000001</v>
      </c>
      <c r="H34">
        <v>8.4554340000000003</v>
      </c>
      <c r="J34" s="8">
        <v>0</v>
      </c>
      <c r="K34" s="8">
        <f t="shared" si="1"/>
        <v>1</v>
      </c>
      <c r="L34" s="8">
        <f t="shared" si="2"/>
        <v>0</v>
      </c>
      <c r="M34" s="8">
        <f t="shared" si="3"/>
        <v>0</v>
      </c>
      <c r="N34" s="8">
        <f t="shared" si="4"/>
        <v>28</v>
      </c>
      <c r="O34" s="9">
        <f t="shared" si="5"/>
        <v>0.50118723362727269</v>
      </c>
      <c r="P34" s="9">
        <v>39.271358999999997</v>
      </c>
      <c r="Q34" s="9">
        <v>-1.2400000000000001E-4</v>
      </c>
      <c r="R34" s="9">
        <v>0.70133999999999996</v>
      </c>
      <c r="S34" s="9">
        <v>12.271359</v>
      </c>
      <c r="T34" s="9">
        <v>40.505330000000001</v>
      </c>
      <c r="U34" s="9">
        <v>8.4554340000000003</v>
      </c>
    </row>
    <row r="35" spans="1:21" x14ac:dyDescent="0.25">
      <c r="A35" s="14">
        <v>25</v>
      </c>
      <c r="B35" s="14">
        <v>2900000000</v>
      </c>
      <c r="C35" s="14">
        <v>39.118223999999998</v>
      </c>
      <c r="D35" s="14">
        <v>-3.6699999999999998E-4</v>
      </c>
      <c r="E35" s="14">
        <v>0.70881099999999997</v>
      </c>
      <c r="F35">
        <v>12.118224</v>
      </c>
      <c r="G35">
        <v>38.602367000000001</v>
      </c>
      <c r="H35">
        <v>8.1624859999999995</v>
      </c>
      <c r="J35" s="8">
        <v>0</v>
      </c>
      <c r="K35" s="8">
        <f t="shared" si="1"/>
        <v>1</v>
      </c>
      <c r="L35" s="8">
        <f t="shared" si="2"/>
        <v>0</v>
      </c>
      <c r="M35" s="8">
        <f t="shared" si="3"/>
        <v>0</v>
      </c>
      <c r="N35" s="8">
        <f t="shared" si="4"/>
        <v>28</v>
      </c>
      <c r="O35" s="9">
        <f t="shared" si="5"/>
        <v>0.50118723362727269</v>
      </c>
      <c r="P35" s="9">
        <v>39.118223999999998</v>
      </c>
      <c r="Q35" s="9">
        <v>-3.6699999999999998E-4</v>
      </c>
      <c r="R35" s="9">
        <v>0.70881099999999997</v>
      </c>
      <c r="S35" s="9">
        <v>12.118224</v>
      </c>
      <c r="T35" s="9">
        <v>38.602367000000001</v>
      </c>
      <c r="U35" s="9">
        <v>8.1624859999999995</v>
      </c>
    </row>
    <row r="36" spans="1:21" x14ac:dyDescent="0.25">
      <c r="A36" s="14">
        <v>26</v>
      </c>
      <c r="B36" s="14">
        <v>3000000000</v>
      </c>
      <c r="C36" s="14">
        <v>39.160229000000001</v>
      </c>
      <c r="D36" s="14">
        <v>-1.3999999999999999E-4</v>
      </c>
      <c r="E36" s="14">
        <v>0.71170100000000003</v>
      </c>
      <c r="F36">
        <v>12.160228999999999</v>
      </c>
      <c r="G36">
        <v>38.843721000000002</v>
      </c>
      <c r="H36">
        <v>8.241816</v>
      </c>
      <c r="J36" s="8">
        <v>0</v>
      </c>
      <c r="K36" s="8">
        <f t="shared" si="1"/>
        <v>1</v>
      </c>
      <c r="L36" s="8">
        <f t="shared" si="2"/>
        <v>0</v>
      </c>
      <c r="M36" s="8">
        <f t="shared" si="3"/>
        <v>0</v>
      </c>
      <c r="N36" s="8">
        <f t="shared" si="4"/>
        <v>28</v>
      </c>
      <c r="O36" s="9">
        <f t="shared" si="5"/>
        <v>0.50118723362727269</v>
      </c>
      <c r="P36" s="9">
        <v>39.160229000000001</v>
      </c>
      <c r="Q36" s="9">
        <v>-1.3999999999999999E-4</v>
      </c>
      <c r="R36" s="9">
        <v>0.71170100000000003</v>
      </c>
      <c r="S36" s="9">
        <v>12.160228999999999</v>
      </c>
      <c r="T36" s="9">
        <v>38.843721000000002</v>
      </c>
      <c r="U36" s="9">
        <v>8.241816</v>
      </c>
    </row>
    <row r="37" spans="1:21" x14ac:dyDescent="0.25">
      <c r="A37" s="14">
        <v>27</v>
      </c>
      <c r="B37" s="14">
        <v>3100000000</v>
      </c>
      <c r="C37" s="14">
        <v>38.924948999999998</v>
      </c>
      <c r="D37" s="14">
        <v>7.6000000000000004E-5</v>
      </c>
      <c r="E37" s="14">
        <v>0.733935</v>
      </c>
      <c r="F37">
        <v>11.924949</v>
      </c>
      <c r="G37">
        <v>35.552008999999998</v>
      </c>
      <c r="H37">
        <v>7.8071929999999998</v>
      </c>
      <c r="J37" s="8">
        <v>0</v>
      </c>
      <c r="K37" s="8">
        <f t="shared" si="1"/>
        <v>1</v>
      </c>
      <c r="L37" s="8">
        <f t="shared" si="2"/>
        <v>0</v>
      </c>
      <c r="M37" s="8">
        <f t="shared" si="3"/>
        <v>0</v>
      </c>
      <c r="N37" s="8">
        <f t="shared" si="4"/>
        <v>28</v>
      </c>
      <c r="O37" s="9">
        <f t="shared" si="5"/>
        <v>0.50118723362727269</v>
      </c>
      <c r="P37" s="9">
        <v>38.924948999999998</v>
      </c>
      <c r="Q37" s="9">
        <v>7.6000000000000004E-5</v>
      </c>
      <c r="R37" s="9">
        <v>0.733935</v>
      </c>
      <c r="S37" s="9">
        <v>11.924949</v>
      </c>
      <c r="T37" s="9">
        <v>35.552008999999998</v>
      </c>
      <c r="U37" s="9">
        <v>7.8071929999999998</v>
      </c>
    </row>
    <row r="38" spans="1:21" x14ac:dyDescent="0.25">
      <c r="A38" s="14">
        <v>28</v>
      </c>
      <c r="B38" s="14">
        <v>3200000000</v>
      </c>
      <c r="C38" s="14">
        <v>38.926093999999999</v>
      </c>
      <c r="D38" s="14">
        <v>-1.2999999999999999E-5</v>
      </c>
      <c r="E38" s="14">
        <v>0.75384700000000004</v>
      </c>
      <c r="F38">
        <v>11.926094000000001</v>
      </c>
      <c r="G38">
        <v>34.622692999999998</v>
      </c>
      <c r="H38">
        <v>7.8092509999999997</v>
      </c>
      <c r="J38" s="8">
        <v>0</v>
      </c>
      <c r="K38" s="8">
        <f t="shared" si="1"/>
        <v>1</v>
      </c>
      <c r="L38" s="8">
        <f t="shared" si="2"/>
        <v>0</v>
      </c>
      <c r="M38" s="8">
        <f t="shared" si="3"/>
        <v>0</v>
      </c>
      <c r="N38" s="8">
        <f t="shared" si="4"/>
        <v>28</v>
      </c>
      <c r="O38" s="9">
        <f t="shared" si="5"/>
        <v>0.50118723362727269</v>
      </c>
      <c r="P38" s="9">
        <v>38.926093999999999</v>
      </c>
      <c r="Q38" s="9">
        <v>-1.2999999999999999E-5</v>
      </c>
      <c r="R38" s="9">
        <v>0.75384700000000004</v>
      </c>
      <c r="S38" s="9">
        <v>11.926094000000001</v>
      </c>
      <c r="T38" s="9">
        <v>34.622692999999998</v>
      </c>
      <c r="U38" s="9">
        <v>7.8092509999999997</v>
      </c>
    </row>
    <row r="39" spans="1:21" x14ac:dyDescent="0.25">
      <c r="A39" s="14">
        <v>29</v>
      </c>
      <c r="B39" s="14">
        <v>3300000000</v>
      </c>
      <c r="C39" s="14">
        <v>38.810209999999998</v>
      </c>
      <c r="D39" s="14">
        <v>-3.5500000000000001E-4</v>
      </c>
      <c r="E39" s="14">
        <v>0.74649600000000005</v>
      </c>
      <c r="F39">
        <v>11.81021</v>
      </c>
      <c r="G39">
        <v>33.979897000000001</v>
      </c>
      <c r="H39">
        <v>7.603631</v>
      </c>
      <c r="J39" s="8">
        <v>0</v>
      </c>
      <c r="K39" s="8">
        <f t="shared" si="1"/>
        <v>1</v>
      </c>
      <c r="L39" s="8">
        <f t="shared" si="2"/>
        <v>0</v>
      </c>
      <c r="M39" s="8">
        <f t="shared" si="3"/>
        <v>0</v>
      </c>
      <c r="N39" s="8">
        <f t="shared" si="4"/>
        <v>28</v>
      </c>
      <c r="O39" s="9">
        <f t="shared" si="5"/>
        <v>0.50118723362727269</v>
      </c>
      <c r="P39" s="9">
        <v>38.810209999999998</v>
      </c>
      <c r="Q39" s="9">
        <v>-3.5500000000000001E-4</v>
      </c>
      <c r="R39" s="9">
        <v>0.74649600000000005</v>
      </c>
      <c r="S39" s="9">
        <v>11.81021</v>
      </c>
      <c r="T39" s="9">
        <v>33.979897000000001</v>
      </c>
      <c r="U39" s="9">
        <v>7.603631</v>
      </c>
    </row>
    <row r="40" spans="1:21" x14ac:dyDescent="0.25">
      <c r="A40" s="14">
        <v>30</v>
      </c>
      <c r="B40" s="14">
        <v>3400000000</v>
      </c>
      <c r="C40" s="14">
        <v>38.516855</v>
      </c>
      <c r="D40" s="14">
        <v>-2.3E-5</v>
      </c>
      <c r="E40" s="14">
        <v>0.75879399999999997</v>
      </c>
      <c r="F40">
        <v>11.516855</v>
      </c>
      <c r="G40">
        <v>31.091605999999999</v>
      </c>
      <c r="H40">
        <v>7.106986</v>
      </c>
      <c r="J40" s="8">
        <v>0</v>
      </c>
      <c r="K40" s="8">
        <f t="shared" si="1"/>
        <v>1</v>
      </c>
      <c r="L40" s="8">
        <f t="shared" si="2"/>
        <v>0</v>
      </c>
      <c r="M40" s="8">
        <f t="shared" si="3"/>
        <v>0</v>
      </c>
      <c r="N40" s="8">
        <f t="shared" si="4"/>
        <v>28</v>
      </c>
      <c r="O40" s="9">
        <f t="shared" si="5"/>
        <v>0.50118723362727269</v>
      </c>
      <c r="P40" s="9">
        <v>38.516855</v>
      </c>
      <c r="Q40" s="9">
        <v>-2.3E-5</v>
      </c>
      <c r="R40" s="9">
        <v>0.75879399999999997</v>
      </c>
      <c r="S40" s="9">
        <v>11.516855</v>
      </c>
      <c r="T40" s="9">
        <v>31.091605999999999</v>
      </c>
      <c r="U40" s="9">
        <v>7.106986</v>
      </c>
    </row>
    <row r="41" spans="1:21" x14ac:dyDescent="0.25">
      <c r="A41" s="14">
        <v>31</v>
      </c>
      <c r="B41" s="14">
        <v>3500000000</v>
      </c>
      <c r="C41" s="14">
        <v>38.379342000000001</v>
      </c>
      <c r="D41" s="14">
        <v>-4.9600000000000002E-4</v>
      </c>
      <c r="E41" s="14">
        <v>0.777092</v>
      </c>
      <c r="F41">
        <v>11.379341999999999</v>
      </c>
      <c r="G41">
        <v>29.341486</v>
      </c>
      <c r="H41">
        <v>6.8854800000000003</v>
      </c>
      <c r="J41" s="8">
        <v>0</v>
      </c>
      <c r="K41" s="8">
        <f t="shared" si="1"/>
        <v>1</v>
      </c>
      <c r="L41" s="8">
        <f t="shared" si="2"/>
        <v>0</v>
      </c>
      <c r="M41" s="8">
        <f t="shared" si="3"/>
        <v>0</v>
      </c>
      <c r="N41" s="8">
        <f t="shared" si="4"/>
        <v>28</v>
      </c>
      <c r="O41" s="9">
        <f t="shared" si="5"/>
        <v>0.50118723362727269</v>
      </c>
      <c r="P41" s="9">
        <v>38.379342000000001</v>
      </c>
      <c r="Q41" s="9">
        <v>-4.9600000000000002E-4</v>
      </c>
      <c r="R41" s="9">
        <v>0.777092</v>
      </c>
      <c r="S41" s="9">
        <v>11.379341999999999</v>
      </c>
      <c r="T41" s="9">
        <v>29.341486</v>
      </c>
      <c r="U41" s="9">
        <v>6.8854800000000003</v>
      </c>
    </row>
    <row r="42" spans="1:21" x14ac:dyDescent="0.25">
      <c r="A42" s="14">
        <v>32</v>
      </c>
      <c r="B42" s="14">
        <v>3600000000</v>
      </c>
      <c r="C42" s="14">
        <v>38.422682000000002</v>
      </c>
      <c r="D42" s="14">
        <v>9.7999999999999997E-5</v>
      </c>
      <c r="E42" s="14">
        <v>0.77790899999999996</v>
      </c>
      <c r="F42">
        <v>11.422682</v>
      </c>
      <c r="G42">
        <v>29.627735000000001</v>
      </c>
      <c r="H42">
        <v>6.9545370000000002</v>
      </c>
      <c r="J42" s="8">
        <v>0</v>
      </c>
      <c r="K42" s="8">
        <f t="shared" si="1"/>
        <v>1</v>
      </c>
      <c r="L42" s="8">
        <f t="shared" si="2"/>
        <v>0</v>
      </c>
      <c r="M42" s="8">
        <f t="shared" si="3"/>
        <v>0</v>
      </c>
      <c r="N42" s="8">
        <f t="shared" si="4"/>
        <v>28</v>
      </c>
      <c r="O42" s="9">
        <f t="shared" si="5"/>
        <v>0.50118723362727269</v>
      </c>
      <c r="P42" s="9">
        <v>38.422682000000002</v>
      </c>
      <c r="Q42" s="9">
        <v>9.7999999999999997E-5</v>
      </c>
      <c r="R42" s="9">
        <v>0.77790899999999996</v>
      </c>
      <c r="S42" s="9">
        <v>11.422682</v>
      </c>
      <c r="T42" s="9">
        <v>29.627735000000001</v>
      </c>
      <c r="U42" s="9">
        <v>6.9545370000000002</v>
      </c>
    </row>
    <row r="43" spans="1:21" x14ac:dyDescent="0.25">
      <c r="A43" s="14">
        <v>33</v>
      </c>
      <c r="B43" s="14">
        <v>3700000000</v>
      </c>
      <c r="C43" s="14">
        <v>38.630037000000002</v>
      </c>
      <c r="D43" s="14">
        <v>4.06E-4</v>
      </c>
      <c r="E43" s="14">
        <v>0.77167399999999997</v>
      </c>
      <c r="F43">
        <v>11.630037</v>
      </c>
      <c r="G43">
        <v>31.441161000000001</v>
      </c>
      <c r="H43">
        <v>7.2946369999999998</v>
      </c>
      <c r="J43" s="8">
        <v>0</v>
      </c>
      <c r="K43" s="8">
        <f t="shared" si="1"/>
        <v>1</v>
      </c>
      <c r="L43" s="8">
        <f t="shared" si="2"/>
        <v>0</v>
      </c>
      <c r="M43" s="8">
        <f t="shared" si="3"/>
        <v>0</v>
      </c>
      <c r="N43" s="8">
        <f t="shared" si="4"/>
        <v>28</v>
      </c>
      <c r="O43" s="9">
        <f t="shared" si="5"/>
        <v>0.50118723362727269</v>
      </c>
      <c r="P43" s="9">
        <v>38.630037000000002</v>
      </c>
      <c r="Q43" s="9">
        <v>4.06E-4</v>
      </c>
      <c r="R43" s="9">
        <v>0.77167399999999997</v>
      </c>
      <c r="S43" s="9">
        <v>11.630037</v>
      </c>
      <c r="T43" s="9">
        <v>31.441161000000001</v>
      </c>
      <c r="U43" s="9">
        <v>7.2946369999999998</v>
      </c>
    </row>
    <row r="44" spans="1:21" x14ac:dyDescent="0.25">
      <c r="A44" s="14">
        <v>34</v>
      </c>
      <c r="B44" s="14">
        <v>3800000000</v>
      </c>
      <c r="C44" s="14">
        <v>38.663693000000002</v>
      </c>
      <c r="D44" s="14">
        <v>-2.3E-5</v>
      </c>
      <c r="E44" s="14">
        <v>0.77915900000000005</v>
      </c>
      <c r="F44">
        <v>11.663693</v>
      </c>
      <c r="G44">
        <v>31.399229999999999</v>
      </c>
      <c r="H44">
        <v>7.351388</v>
      </c>
      <c r="J44" s="8">
        <v>0</v>
      </c>
      <c r="K44" s="8">
        <f t="shared" ref="K44:K75" si="6">K43</f>
        <v>1</v>
      </c>
      <c r="L44" s="8">
        <f t="shared" ref="L44:L75" si="7">L43</f>
        <v>0</v>
      </c>
      <c r="M44" s="8">
        <f t="shared" ref="M44:M75" si="8">M43</f>
        <v>0</v>
      </c>
      <c r="N44" s="8">
        <f t="shared" ref="N44:N75" si="9">N43</f>
        <v>28</v>
      </c>
      <c r="O44" s="9">
        <f t="shared" ref="O44:O75" si="10">O43</f>
        <v>0.50118723362727269</v>
      </c>
      <c r="P44" s="9">
        <v>38.663693000000002</v>
      </c>
      <c r="Q44" s="9">
        <v>-2.3E-5</v>
      </c>
      <c r="R44" s="9">
        <v>0.77915900000000005</v>
      </c>
      <c r="S44" s="9">
        <v>11.663693</v>
      </c>
      <c r="T44" s="9">
        <v>31.399229999999999</v>
      </c>
      <c r="U44" s="9">
        <v>7.351388</v>
      </c>
    </row>
    <row r="45" spans="1:21" x14ac:dyDescent="0.25">
      <c r="A45" s="14">
        <v>35</v>
      </c>
      <c r="B45" s="14">
        <v>3900000000</v>
      </c>
      <c r="C45" s="14">
        <v>38.759872999999999</v>
      </c>
      <c r="D45" s="14">
        <v>-3.5300000000000002E-4</v>
      </c>
      <c r="E45" s="14">
        <v>0.76131400000000005</v>
      </c>
      <c r="F45">
        <v>11.759873000000001</v>
      </c>
      <c r="G45">
        <v>32.907505999999998</v>
      </c>
      <c r="H45">
        <v>7.5160090000000004</v>
      </c>
      <c r="J45" s="8">
        <v>0</v>
      </c>
      <c r="K45" s="8">
        <f t="shared" si="6"/>
        <v>1</v>
      </c>
      <c r="L45" s="8">
        <f t="shared" si="7"/>
        <v>0</v>
      </c>
      <c r="M45" s="8">
        <f t="shared" si="8"/>
        <v>0</v>
      </c>
      <c r="N45" s="8">
        <f t="shared" si="9"/>
        <v>28</v>
      </c>
      <c r="O45" s="9">
        <f t="shared" si="10"/>
        <v>0.50118723362727269</v>
      </c>
      <c r="P45" s="9">
        <v>38.759872999999999</v>
      </c>
      <c r="Q45" s="9">
        <v>-3.5300000000000002E-4</v>
      </c>
      <c r="R45" s="9">
        <v>0.76131400000000005</v>
      </c>
      <c r="S45" s="9">
        <v>11.759873000000001</v>
      </c>
      <c r="T45" s="9">
        <v>32.907505999999998</v>
      </c>
      <c r="U45" s="9">
        <v>7.5160090000000004</v>
      </c>
    </row>
    <row r="46" spans="1:21" x14ac:dyDescent="0.25">
      <c r="A46" s="14">
        <v>36</v>
      </c>
      <c r="B46" s="14">
        <v>4000000000</v>
      </c>
      <c r="C46" s="14">
        <v>38.588966999999997</v>
      </c>
      <c r="D46" s="14">
        <v>3.4200000000000002E-4</v>
      </c>
      <c r="E46" s="14">
        <v>0.76350499999999999</v>
      </c>
      <c r="F46">
        <v>11.588967</v>
      </c>
      <c r="G46">
        <v>31.456410999999999</v>
      </c>
      <c r="H46">
        <v>7.2259789999999997</v>
      </c>
      <c r="J46" s="8">
        <v>0</v>
      </c>
      <c r="K46" s="8">
        <f t="shared" si="6"/>
        <v>1</v>
      </c>
      <c r="L46" s="8">
        <f t="shared" si="7"/>
        <v>0</v>
      </c>
      <c r="M46" s="8">
        <f t="shared" si="8"/>
        <v>0</v>
      </c>
      <c r="N46" s="8">
        <f t="shared" si="9"/>
        <v>28</v>
      </c>
      <c r="O46" s="9">
        <f t="shared" si="10"/>
        <v>0.50118723362727269</v>
      </c>
      <c r="P46" s="9">
        <v>38.588966999999997</v>
      </c>
      <c r="Q46" s="9">
        <v>3.4200000000000002E-4</v>
      </c>
      <c r="R46" s="9">
        <v>0.76350499999999999</v>
      </c>
      <c r="S46" s="9">
        <v>11.588967</v>
      </c>
      <c r="T46" s="9">
        <v>31.456410999999999</v>
      </c>
      <c r="U46" s="9">
        <v>7.2259789999999997</v>
      </c>
    </row>
    <row r="47" spans="1:21" x14ac:dyDescent="0.25">
      <c r="A47" s="14"/>
      <c r="B47" s="14"/>
      <c r="C47" s="14"/>
      <c r="D47" s="14"/>
      <c r="E47" s="14"/>
      <c r="J47" s="8">
        <v>0</v>
      </c>
      <c r="K47" s="8">
        <f t="shared" si="6"/>
        <v>1</v>
      </c>
      <c r="L47" s="8">
        <f t="shared" si="7"/>
        <v>0</v>
      </c>
      <c r="M47" s="8">
        <f t="shared" si="8"/>
        <v>0</v>
      </c>
      <c r="N47" s="8">
        <f t="shared" si="9"/>
        <v>28</v>
      </c>
      <c r="O47" s="9">
        <f t="shared" si="10"/>
        <v>0.50118723362727269</v>
      </c>
      <c r="P47" s="9"/>
      <c r="Q47" s="9"/>
      <c r="R47" s="9"/>
      <c r="S47" s="9"/>
      <c r="T47" s="9"/>
      <c r="U47" s="9"/>
    </row>
    <row r="48" spans="1:21" x14ac:dyDescent="0.25">
      <c r="A48" s="14"/>
      <c r="B48" s="14"/>
      <c r="C48" s="14"/>
      <c r="D48" s="14"/>
      <c r="E48" s="14"/>
      <c r="J48" s="8">
        <v>0</v>
      </c>
      <c r="K48" s="8">
        <f t="shared" si="6"/>
        <v>1</v>
      </c>
      <c r="L48" s="8">
        <f t="shared" si="7"/>
        <v>0</v>
      </c>
      <c r="M48" s="8">
        <f t="shared" si="8"/>
        <v>0</v>
      </c>
      <c r="N48" s="8">
        <f t="shared" si="9"/>
        <v>28</v>
      </c>
      <c r="O48" s="9">
        <f t="shared" si="10"/>
        <v>0.50118723362727269</v>
      </c>
      <c r="P48" s="9"/>
      <c r="Q48" s="9"/>
      <c r="R48" s="9"/>
      <c r="S48" s="9"/>
      <c r="T48" s="9"/>
      <c r="U48" s="9"/>
    </row>
    <row r="49" spans="1:21" x14ac:dyDescent="0.25">
      <c r="A49" s="14"/>
      <c r="B49" s="14"/>
      <c r="C49" s="14"/>
      <c r="D49" s="14"/>
      <c r="E49" s="14"/>
      <c r="J49" s="8">
        <v>0</v>
      </c>
      <c r="K49" s="8">
        <f t="shared" si="6"/>
        <v>1</v>
      </c>
      <c r="L49" s="8">
        <f t="shared" si="7"/>
        <v>0</v>
      </c>
      <c r="M49" s="8">
        <f t="shared" si="8"/>
        <v>0</v>
      </c>
      <c r="N49" s="8">
        <f t="shared" si="9"/>
        <v>28</v>
      </c>
      <c r="O49" s="9">
        <f t="shared" si="10"/>
        <v>0.50118723362727269</v>
      </c>
      <c r="P49" s="9"/>
      <c r="Q49" s="9"/>
      <c r="R49" s="9"/>
      <c r="S49" s="9"/>
      <c r="T49" s="9"/>
      <c r="U49" s="9"/>
    </row>
    <row r="50" spans="1:21" x14ac:dyDescent="0.25">
      <c r="A50" s="14"/>
      <c r="B50" s="14"/>
      <c r="C50" s="14"/>
      <c r="D50" s="14"/>
      <c r="E50" s="14"/>
      <c r="J50" s="8">
        <v>0</v>
      </c>
      <c r="K50" s="8">
        <f t="shared" si="6"/>
        <v>1</v>
      </c>
      <c r="L50" s="8">
        <f t="shared" si="7"/>
        <v>0</v>
      </c>
      <c r="M50" s="8">
        <f t="shared" si="8"/>
        <v>0</v>
      </c>
      <c r="N50" s="8">
        <f t="shared" si="9"/>
        <v>28</v>
      </c>
      <c r="O50" s="9">
        <f t="shared" si="10"/>
        <v>0.50118723362727269</v>
      </c>
      <c r="P50" s="9"/>
      <c r="Q50" s="9"/>
      <c r="R50" s="9"/>
      <c r="S50" s="9"/>
      <c r="T50" s="9"/>
      <c r="U50" s="9"/>
    </row>
    <row r="51" spans="1:21" x14ac:dyDescent="0.25">
      <c r="A51" s="14"/>
      <c r="B51" s="14"/>
      <c r="C51" s="14"/>
      <c r="D51" s="14"/>
      <c r="E51" s="14"/>
      <c r="J51" s="8">
        <v>0</v>
      </c>
      <c r="K51" s="8">
        <f t="shared" si="6"/>
        <v>1</v>
      </c>
      <c r="L51" s="8">
        <f t="shared" si="7"/>
        <v>0</v>
      </c>
      <c r="M51" s="8">
        <f t="shared" si="8"/>
        <v>0</v>
      </c>
      <c r="N51" s="8">
        <f t="shared" si="9"/>
        <v>28</v>
      </c>
      <c r="O51" s="9">
        <f t="shared" si="10"/>
        <v>0.50118723362727269</v>
      </c>
      <c r="P51" s="9"/>
      <c r="Q51" s="9"/>
      <c r="R51" s="9"/>
      <c r="S51" s="9"/>
      <c r="T51" s="9"/>
      <c r="U51" s="9"/>
    </row>
    <row r="52" spans="1:21" x14ac:dyDescent="0.25">
      <c r="A52" s="14"/>
      <c r="B52" s="14"/>
      <c r="C52" s="14"/>
      <c r="D52" s="14"/>
      <c r="E52" s="14"/>
      <c r="J52" s="8">
        <v>0</v>
      </c>
      <c r="K52" s="8">
        <f t="shared" si="6"/>
        <v>1</v>
      </c>
      <c r="L52" s="8">
        <f t="shared" si="7"/>
        <v>0</v>
      </c>
      <c r="M52" s="8">
        <f t="shared" si="8"/>
        <v>0</v>
      </c>
      <c r="N52" s="8">
        <f t="shared" si="9"/>
        <v>28</v>
      </c>
      <c r="O52" s="9">
        <f t="shared" si="10"/>
        <v>0.50118723362727269</v>
      </c>
      <c r="P52" s="9"/>
      <c r="Q52" s="9"/>
      <c r="R52" s="9"/>
      <c r="S52" s="9"/>
      <c r="T52" s="9"/>
      <c r="U52" s="9"/>
    </row>
    <row r="53" spans="1:21" x14ac:dyDescent="0.25">
      <c r="A53" s="14"/>
      <c r="B53" s="14"/>
      <c r="C53" s="14"/>
      <c r="D53" s="14"/>
      <c r="E53" s="14"/>
      <c r="J53" s="8">
        <v>0</v>
      </c>
      <c r="K53" s="8">
        <f t="shared" si="6"/>
        <v>1</v>
      </c>
      <c r="L53" s="8">
        <f t="shared" si="7"/>
        <v>0</v>
      </c>
      <c r="M53" s="8">
        <f t="shared" si="8"/>
        <v>0</v>
      </c>
      <c r="N53" s="8">
        <f t="shared" si="9"/>
        <v>28</v>
      </c>
      <c r="O53" s="9">
        <f t="shared" si="10"/>
        <v>0.50118723362727269</v>
      </c>
      <c r="P53" s="9"/>
      <c r="Q53" s="9"/>
      <c r="R53" s="9"/>
      <c r="S53" s="9"/>
      <c r="T53" s="9"/>
      <c r="U53" s="9"/>
    </row>
    <row r="54" spans="1:21" x14ac:dyDescent="0.25">
      <c r="A54" s="14"/>
      <c r="B54" s="14"/>
      <c r="C54" s="14"/>
      <c r="D54" s="14"/>
      <c r="E54" s="14"/>
      <c r="J54" s="8">
        <v>0</v>
      </c>
      <c r="K54" s="8">
        <f t="shared" si="6"/>
        <v>1</v>
      </c>
      <c r="L54" s="8">
        <f t="shared" si="7"/>
        <v>0</v>
      </c>
      <c r="M54" s="8">
        <f t="shared" si="8"/>
        <v>0</v>
      </c>
      <c r="N54" s="8">
        <f t="shared" si="9"/>
        <v>28</v>
      </c>
      <c r="O54" s="9">
        <f t="shared" si="10"/>
        <v>0.50118723362727269</v>
      </c>
      <c r="P54" s="9"/>
      <c r="Q54" s="9"/>
      <c r="R54" s="9"/>
      <c r="S54" s="9"/>
      <c r="T54" s="9"/>
      <c r="U54" s="9"/>
    </row>
    <row r="55" spans="1:21" x14ac:dyDescent="0.25">
      <c r="A55" s="14"/>
      <c r="B55" s="14"/>
      <c r="C55" s="14"/>
      <c r="D55" s="14"/>
      <c r="E55" s="14"/>
      <c r="J55" s="8">
        <v>0</v>
      </c>
      <c r="K55" s="8">
        <f t="shared" si="6"/>
        <v>1</v>
      </c>
      <c r="L55" s="8">
        <f t="shared" si="7"/>
        <v>0</v>
      </c>
      <c r="M55" s="8">
        <f t="shared" si="8"/>
        <v>0</v>
      </c>
      <c r="N55" s="8">
        <f t="shared" si="9"/>
        <v>28</v>
      </c>
      <c r="O55" s="9">
        <f t="shared" si="10"/>
        <v>0.50118723362727269</v>
      </c>
      <c r="P55" s="9"/>
      <c r="Q55" s="9"/>
      <c r="R55" s="9"/>
      <c r="S55" s="9"/>
      <c r="T55" s="9"/>
      <c r="U55" s="9"/>
    </row>
    <row r="56" spans="1:21" x14ac:dyDescent="0.25">
      <c r="A56" s="14"/>
      <c r="B56" s="14"/>
      <c r="C56" s="14"/>
      <c r="D56" s="14"/>
      <c r="E56" s="14"/>
      <c r="J56" s="8">
        <v>0</v>
      </c>
      <c r="K56" s="8">
        <f t="shared" si="6"/>
        <v>1</v>
      </c>
      <c r="L56" s="8">
        <f t="shared" si="7"/>
        <v>0</v>
      </c>
      <c r="M56" s="8">
        <f t="shared" si="8"/>
        <v>0</v>
      </c>
      <c r="N56" s="8">
        <f t="shared" si="9"/>
        <v>28</v>
      </c>
      <c r="O56" s="9">
        <f t="shared" si="10"/>
        <v>0.50118723362727269</v>
      </c>
      <c r="P56" s="9"/>
      <c r="Q56" s="9"/>
      <c r="R56" s="9"/>
      <c r="S56" s="9"/>
      <c r="T56" s="9"/>
      <c r="U56" s="9"/>
    </row>
    <row r="57" spans="1:21" x14ac:dyDescent="0.25">
      <c r="A57" s="14"/>
      <c r="B57" s="14"/>
      <c r="C57" s="14"/>
      <c r="D57" s="14"/>
      <c r="E57" s="14"/>
      <c r="J57" s="8">
        <v>0</v>
      </c>
      <c r="K57" s="8">
        <f t="shared" si="6"/>
        <v>1</v>
      </c>
      <c r="L57" s="8">
        <f t="shared" si="7"/>
        <v>0</v>
      </c>
      <c r="M57" s="8">
        <f t="shared" si="8"/>
        <v>0</v>
      </c>
      <c r="N57" s="8">
        <f t="shared" si="9"/>
        <v>28</v>
      </c>
      <c r="O57" s="9">
        <f t="shared" si="10"/>
        <v>0.50118723362727269</v>
      </c>
      <c r="P57" s="9"/>
      <c r="Q57" s="9"/>
      <c r="R57" s="9"/>
      <c r="S57" s="9"/>
      <c r="T57" s="9"/>
      <c r="U57" s="9"/>
    </row>
    <row r="58" spans="1:21" x14ac:dyDescent="0.25">
      <c r="A58" s="14"/>
      <c r="B58" s="14"/>
      <c r="C58" s="14"/>
      <c r="D58" s="14"/>
      <c r="E58" s="14"/>
      <c r="J58" s="8">
        <v>0</v>
      </c>
      <c r="K58" s="8">
        <f t="shared" si="6"/>
        <v>1</v>
      </c>
      <c r="L58" s="8">
        <f t="shared" si="7"/>
        <v>0</v>
      </c>
      <c r="M58" s="8">
        <f t="shared" si="8"/>
        <v>0</v>
      </c>
      <c r="N58" s="8">
        <f t="shared" si="9"/>
        <v>28</v>
      </c>
      <c r="O58" s="9">
        <f t="shared" si="10"/>
        <v>0.50118723362727269</v>
      </c>
      <c r="P58" s="9"/>
      <c r="Q58" s="9"/>
      <c r="R58" s="9"/>
      <c r="S58" s="9"/>
      <c r="T58" s="9"/>
      <c r="U58" s="9"/>
    </row>
    <row r="59" spans="1:21" x14ac:dyDescent="0.25">
      <c r="A59" s="14"/>
      <c r="B59" s="14"/>
      <c r="C59" s="14"/>
      <c r="D59" s="14"/>
      <c r="E59" s="14"/>
      <c r="J59" s="8">
        <v>0</v>
      </c>
      <c r="K59" s="8">
        <f t="shared" si="6"/>
        <v>1</v>
      </c>
      <c r="L59" s="8">
        <f t="shared" si="7"/>
        <v>0</v>
      </c>
      <c r="M59" s="8">
        <f t="shared" si="8"/>
        <v>0</v>
      </c>
      <c r="N59" s="8">
        <f t="shared" si="9"/>
        <v>28</v>
      </c>
      <c r="O59" s="9">
        <f t="shared" si="10"/>
        <v>0.50118723362727269</v>
      </c>
      <c r="P59" s="9"/>
      <c r="Q59" s="9"/>
      <c r="R59" s="9"/>
      <c r="S59" s="9"/>
      <c r="T59" s="9"/>
      <c r="U59" s="9"/>
    </row>
    <row r="60" spans="1:21" x14ac:dyDescent="0.25">
      <c r="A60" s="14"/>
      <c r="B60" s="14"/>
      <c r="C60" s="14"/>
      <c r="D60" s="14"/>
      <c r="E60" s="14"/>
      <c r="J60" s="8">
        <v>0</v>
      </c>
      <c r="K60" s="8">
        <f t="shared" si="6"/>
        <v>1</v>
      </c>
      <c r="L60" s="8">
        <f t="shared" si="7"/>
        <v>0</v>
      </c>
      <c r="M60" s="8">
        <f t="shared" si="8"/>
        <v>0</v>
      </c>
      <c r="N60" s="8">
        <f t="shared" si="9"/>
        <v>28</v>
      </c>
      <c r="O60" s="9">
        <f t="shared" si="10"/>
        <v>0.50118723362727269</v>
      </c>
      <c r="P60" s="9"/>
      <c r="Q60" s="9"/>
      <c r="R60" s="9"/>
      <c r="S60" s="9"/>
      <c r="T60" s="9"/>
      <c r="U60" s="9"/>
    </row>
    <row r="61" spans="1:21" x14ac:dyDescent="0.25">
      <c r="A61" s="14"/>
      <c r="B61" s="14"/>
      <c r="C61" s="14"/>
      <c r="D61" s="14"/>
      <c r="E61" s="14"/>
      <c r="J61" s="8">
        <v>0</v>
      </c>
      <c r="K61" s="8">
        <f t="shared" si="6"/>
        <v>1</v>
      </c>
      <c r="L61" s="8">
        <f t="shared" si="7"/>
        <v>0</v>
      </c>
      <c r="M61" s="8">
        <f t="shared" si="8"/>
        <v>0</v>
      </c>
      <c r="N61" s="8">
        <f t="shared" si="9"/>
        <v>28</v>
      </c>
      <c r="O61" s="9">
        <f t="shared" si="10"/>
        <v>0.50118723362727269</v>
      </c>
      <c r="P61" s="9"/>
      <c r="Q61" s="9"/>
      <c r="R61" s="9"/>
      <c r="S61" s="9"/>
      <c r="T61" s="9"/>
      <c r="U61" s="9"/>
    </row>
    <row r="62" spans="1:21" x14ac:dyDescent="0.25">
      <c r="A62" s="14"/>
      <c r="B62" s="14"/>
      <c r="C62" s="14"/>
      <c r="D62" s="14"/>
      <c r="E62" s="14"/>
      <c r="J62" s="8">
        <v>0</v>
      </c>
      <c r="K62" s="8">
        <f t="shared" si="6"/>
        <v>1</v>
      </c>
      <c r="L62" s="8">
        <f t="shared" si="7"/>
        <v>0</v>
      </c>
      <c r="M62" s="8">
        <f t="shared" si="8"/>
        <v>0</v>
      </c>
      <c r="N62" s="8">
        <f t="shared" si="9"/>
        <v>28</v>
      </c>
      <c r="O62" s="9">
        <f t="shared" si="10"/>
        <v>0.50118723362727269</v>
      </c>
      <c r="P62" s="9"/>
      <c r="Q62" s="9"/>
      <c r="R62" s="9"/>
      <c r="S62" s="9"/>
      <c r="T62" s="9"/>
      <c r="U62" s="9"/>
    </row>
    <row r="63" spans="1:21" x14ac:dyDescent="0.25">
      <c r="A63" s="14"/>
      <c r="B63" s="14"/>
      <c r="C63" s="14"/>
      <c r="D63" s="14"/>
      <c r="E63" s="14"/>
      <c r="J63" s="8">
        <v>0</v>
      </c>
      <c r="K63" s="8">
        <f t="shared" si="6"/>
        <v>1</v>
      </c>
      <c r="L63" s="8">
        <f t="shared" si="7"/>
        <v>0</v>
      </c>
      <c r="M63" s="8">
        <f t="shared" si="8"/>
        <v>0</v>
      </c>
      <c r="N63" s="8">
        <f t="shared" si="9"/>
        <v>28</v>
      </c>
      <c r="O63" s="9">
        <f t="shared" si="10"/>
        <v>0.50118723362727269</v>
      </c>
      <c r="P63" s="9"/>
      <c r="Q63" s="9"/>
      <c r="R63" s="9"/>
      <c r="S63" s="9"/>
      <c r="T63" s="9"/>
      <c r="U63" s="9"/>
    </row>
    <row r="64" spans="1:21" x14ac:dyDescent="0.25">
      <c r="A64" s="14"/>
      <c r="B64" s="14"/>
      <c r="C64" s="14"/>
      <c r="D64" s="14"/>
      <c r="E64" s="14"/>
      <c r="J64" s="8">
        <v>0</v>
      </c>
      <c r="K64" s="8">
        <f t="shared" si="6"/>
        <v>1</v>
      </c>
      <c r="L64" s="8">
        <f t="shared" si="7"/>
        <v>0</v>
      </c>
      <c r="M64" s="8">
        <f t="shared" si="8"/>
        <v>0</v>
      </c>
      <c r="N64" s="8">
        <f t="shared" si="9"/>
        <v>28</v>
      </c>
      <c r="O64" s="9">
        <f t="shared" si="10"/>
        <v>0.50118723362727269</v>
      </c>
      <c r="P64" s="9"/>
      <c r="Q64" s="9"/>
      <c r="R64" s="9"/>
      <c r="S64" s="9"/>
      <c r="T64" s="9"/>
      <c r="U64" s="9"/>
    </row>
    <row r="65" spans="1:21" x14ac:dyDescent="0.25">
      <c r="A65" s="14"/>
      <c r="B65" s="14"/>
      <c r="C65" s="14"/>
      <c r="D65" s="14"/>
      <c r="E65" s="14"/>
      <c r="J65" s="8">
        <v>0</v>
      </c>
      <c r="K65" s="8">
        <f t="shared" si="6"/>
        <v>1</v>
      </c>
      <c r="L65" s="8">
        <f t="shared" si="7"/>
        <v>0</v>
      </c>
      <c r="M65" s="8">
        <f t="shared" si="8"/>
        <v>0</v>
      </c>
      <c r="N65" s="8">
        <f t="shared" si="9"/>
        <v>28</v>
      </c>
      <c r="O65" s="9">
        <f t="shared" si="10"/>
        <v>0.50118723362727269</v>
      </c>
      <c r="P65" s="9"/>
      <c r="Q65" s="9"/>
      <c r="R65" s="9"/>
      <c r="S65" s="9"/>
      <c r="T65" s="9"/>
      <c r="U65" s="9"/>
    </row>
    <row r="66" spans="1:21" x14ac:dyDescent="0.25">
      <c r="A66" s="14"/>
      <c r="B66" s="14"/>
      <c r="C66" s="14"/>
      <c r="D66" s="14"/>
      <c r="E66" s="14"/>
      <c r="J66" s="8">
        <v>0</v>
      </c>
      <c r="K66" s="8">
        <f t="shared" si="6"/>
        <v>1</v>
      </c>
      <c r="L66" s="8">
        <f t="shared" si="7"/>
        <v>0</v>
      </c>
      <c r="M66" s="8">
        <f t="shared" si="8"/>
        <v>0</v>
      </c>
      <c r="N66" s="8">
        <f t="shared" si="9"/>
        <v>28</v>
      </c>
      <c r="O66" s="9">
        <f t="shared" si="10"/>
        <v>0.50118723362727269</v>
      </c>
      <c r="P66" s="9"/>
      <c r="Q66" s="9"/>
      <c r="R66" s="9"/>
      <c r="S66" s="9"/>
      <c r="T66" s="9"/>
      <c r="U66" s="9"/>
    </row>
    <row r="67" spans="1:21" x14ac:dyDescent="0.25">
      <c r="A67" s="14"/>
      <c r="B67" s="14"/>
      <c r="C67" s="14"/>
      <c r="D67" s="14"/>
      <c r="E67" s="14"/>
      <c r="J67" s="8">
        <v>0</v>
      </c>
      <c r="K67" s="8">
        <f t="shared" si="6"/>
        <v>1</v>
      </c>
      <c r="L67" s="8">
        <f t="shared" si="7"/>
        <v>0</v>
      </c>
      <c r="M67" s="8">
        <f t="shared" si="8"/>
        <v>0</v>
      </c>
      <c r="N67" s="8">
        <f t="shared" si="9"/>
        <v>28</v>
      </c>
      <c r="O67" s="9">
        <f t="shared" si="10"/>
        <v>0.50118723362727269</v>
      </c>
      <c r="P67" s="9"/>
      <c r="Q67" s="9"/>
      <c r="R67" s="9"/>
      <c r="S67" s="9"/>
      <c r="T67" s="9"/>
      <c r="U67" s="9"/>
    </row>
    <row r="68" spans="1:21" x14ac:dyDescent="0.25">
      <c r="A68" s="14"/>
      <c r="B68" s="14"/>
      <c r="C68" s="14"/>
      <c r="D68" s="14"/>
      <c r="E68" s="14"/>
      <c r="J68" s="8">
        <v>0</v>
      </c>
      <c r="K68" s="8">
        <f t="shared" si="6"/>
        <v>1</v>
      </c>
      <c r="L68" s="8">
        <f t="shared" si="7"/>
        <v>0</v>
      </c>
      <c r="M68" s="8">
        <f t="shared" si="8"/>
        <v>0</v>
      </c>
      <c r="N68" s="8">
        <f t="shared" si="9"/>
        <v>28</v>
      </c>
      <c r="O68" s="9">
        <f t="shared" si="10"/>
        <v>0.50118723362727269</v>
      </c>
      <c r="P68" s="9"/>
      <c r="Q68" s="9"/>
      <c r="R68" s="9"/>
      <c r="S68" s="9"/>
      <c r="T68" s="9"/>
      <c r="U68" s="9"/>
    </row>
    <row r="69" spans="1:21" x14ac:dyDescent="0.25">
      <c r="A69" s="14"/>
      <c r="B69" s="14"/>
      <c r="C69" s="14"/>
      <c r="D69" s="14"/>
      <c r="E69" s="14"/>
      <c r="J69" s="8">
        <v>0</v>
      </c>
      <c r="K69" s="8">
        <f t="shared" si="6"/>
        <v>1</v>
      </c>
      <c r="L69" s="8">
        <f t="shared" si="7"/>
        <v>0</v>
      </c>
      <c r="M69" s="8">
        <f t="shared" si="8"/>
        <v>0</v>
      </c>
      <c r="N69" s="8">
        <f t="shared" si="9"/>
        <v>28</v>
      </c>
      <c r="O69" s="9">
        <f t="shared" si="10"/>
        <v>0.50118723362727269</v>
      </c>
      <c r="P69" s="9"/>
      <c r="Q69" s="9"/>
      <c r="R69" s="9"/>
      <c r="S69" s="9"/>
      <c r="T69" s="9"/>
      <c r="U69" s="9"/>
    </row>
    <row r="70" spans="1:21" x14ac:dyDescent="0.25">
      <c r="A70" s="14"/>
      <c r="B70" s="14"/>
      <c r="C70" s="14"/>
      <c r="D70" s="14"/>
      <c r="E70" s="14"/>
      <c r="J70" s="8">
        <v>0</v>
      </c>
      <c r="K70" s="8">
        <f t="shared" si="6"/>
        <v>1</v>
      </c>
      <c r="L70" s="8">
        <f t="shared" si="7"/>
        <v>0</v>
      </c>
      <c r="M70" s="8">
        <f t="shared" si="8"/>
        <v>0</v>
      </c>
      <c r="N70" s="8">
        <f t="shared" si="9"/>
        <v>28</v>
      </c>
      <c r="O70" s="9">
        <f t="shared" si="10"/>
        <v>0.50118723362727269</v>
      </c>
      <c r="P70" s="9"/>
      <c r="Q70" s="9"/>
      <c r="R70" s="9"/>
      <c r="S70" s="9"/>
      <c r="T70" s="9"/>
      <c r="U70" s="9"/>
    </row>
    <row r="71" spans="1:21" x14ac:dyDescent="0.25">
      <c r="A71" s="14"/>
      <c r="B71" s="14"/>
      <c r="C71" s="14"/>
      <c r="D71" s="14"/>
      <c r="E71" s="14"/>
      <c r="J71" s="8">
        <v>0</v>
      </c>
      <c r="K71" s="8">
        <f t="shared" si="6"/>
        <v>1</v>
      </c>
      <c r="L71" s="8">
        <f t="shared" si="7"/>
        <v>0</v>
      </c>
      <c r="M71" s="8">
        <f t="shared" si="8"/>
        <v>0</v>
      </c>
      <c r="N71" s="8">
        <f t="shared" si="9"/>
        <v>28</v>
      </c>
      <c r="O71" s="9">
        <f t="shared" si="10"/>
        <v>0.50118723362727269</v>
      </c>
      <c r="P71" s="9"/>
      <c r="Q71" s="9"/>
      <c r="R71" s="9"/>
      <c r="S71" s="9"/>
      <c r="T71" s="9"/>
      <c r="U71" s="9"/>
    </row>
    <row r="72" spans="1:21" x14ac:dyDescent="0.25">
      <c r="A72" s="14"/>
      <c r="B72" s="14"/>
      <c r="C72" s="14"/>
      <c r="D72" s="14"/>
      <c r="E72" s="14"/>
      <c r="J72" s="8">
        <v>0</v>
      </c>
      <c r="K72" s="8">
        <f t="shared" si="6"/>
        <v>1</v>
      </c>
      <c r="L72" s="8">
        <f t="shared" si="7"/>
        <v>0</v>
      </c>
      <c r="M72" s="8">
        <f t="shared" si="8"/>
        <v>0</v>
      </c>
      <c r="N72" s="8">
        <f t="shared" si="9"/>
        <v>28</v>
      </c>
      <c r="O72" s="9">
        <f t="shared" si="10"/>
        <v>0.50118723362727269</v>
      </c>
      <c r="P72" s="9"/>
      <c r="Q72" s="9"/>
      <c r="R72" s="9"/>
      <c r="S72" s="9"/>
      <c r="T72" s="9"/>
      <c r="U72" s="9"/>
    </row>
    <row r="73" spans="1:21" x14ac:dyDescent="0.25">
      <c r="A73" s="14"/>
      <c r="B73" s="14"/>
      <c r="C73" s="14"/>
      <c r="D73" s="14"/>
      <c r="E73" s="14"/>
      <c r="J73" s="8">
        <v>0</v>
      </c>
      <c r="K73" s="8">
        <f t="shared" si="6"/>
        <v>1</v>
      </c>
      <c r="L73" s="8">
        <f t="shared" si="7"/>
        <v>0</v>
      </c>
      <c r="M73" s="8">
        <f t="shared" si="8"/>
        <v>0</v>
      </c>
      <c r="N73" s="8">
        <f t="shared" si="9"/>
        <v>28</v>
      </c>
      <c r="O73" s="9">
        <f t="shared" si="10"/>
        <v>0.50118723362727269</v>
      </c>
      <c r="P73" s="9"/>
      <c r="Q73" s="9"/>
      <c r="R73" s="9"/>
      <c r="S73" s="9"/>
      <c r="T73" s="9"/>
      <c r="U73" s="9"/>
    </row>
    <row r="74" spans="1:21" x14ac:dyDescent="0.25">
      <c r="A74" s="14"/>
      <c r="B74" s="14"/>
      <c r="C74" s="14"/>
      <c r="D74" s="14"/>
      <c r="E74" s="14"/>
      <c r="J74" s="8">
        <v>0</v>
      </c>
      <c r="K74" s="8">
        <f t="shared" si="6"/>
        <v>1</v>
      </c>
      <c r="L74" s="8">
        <f t="shared" si="7"/>
        <v>0</v>
      </c>
      <c r="M74" s="8">
        <f t="shared" si="8"/>
        <v>0</v>
      </c>
      <c r="N74" s="8">
        <f t="shared" si="9"/>
        <v>28</v>
      </c>
      <c r="O74" s="9">
        <f t="shared" si="10"/>
        <v>0.50118723362727269</v>
      </c>
      <c r="P74" s="9"/>
      <c r="Q74" s="9"/>
      <c r="R74" s="9"/>
      <c r="S74" s="9"/>
      <c r="T74" s="9"/>
      <c r="U74" s="9"/>
    </row>
    <row r="75" spans="1:21" x14ac:dyDescent="0.25">
      <c r="A75" s="14"/>
      <c r="B75" s="14"/>
      <c r="C75" s="14"/>
      <c r="D75" s="14"/>
      <c r="E75" s="14"/>
      <c r="J75" s="8">
        <v>0</v>
      </c>
      <c r="K75" s="8">
        <f t="shared" si="6"/>
        <v>1</v>
      </c>
      <c r="L75" s="8">
        <f t="shared" si="7"/>
        <v>0</v>
      </c>
      <c r="M75" s="8">
        <f t="shared" si="8"/>
        <v>0</v>
      </c>
      <c r="N75" s="8">
        <f t="shared" si="9"/>
        <v>28</v>
      </c>
      <c r="O75" s="9">
        <f t="shared" si="10"/>
        <v>0.50118723362727269</v>
      </c>
      <c r="P75" s="9"/>
      <c r="Q75" s="9"/>
      <c r="R75" s="9"/>
      <c r="S75" s="9"/>
      <c r="T75" s="9"/>
      <c r="U75" s="9"/>
    </row>
    <row r="76" spans="1:21" x14ac:dyDescent="0.25">
      <c r="A76" s="14"/>
      <c r="B76" s="14"/>
      <c r="C76" s="14"/>
      <c r="D76" s="14"/>
      <c r="E76" s="14"/>
      <c r="J76" s="8">
        <v>0</v>
      </c>
      <c r="K76" s="8">
        <f t="shared" ref="K76:K96" si="11">K75</f>
        <v>1</v>
      </c>
      <c r="L76" s="8">
        <f t="shared" ref="L76:L96" si="12">L75</f>
        <v>0</v>
      </c>
      <c r="M76" s="8">
        <f t="shared" ref="M76:M96" si="13">M75</f>
        <v>0</v>
      </c>
      <c r="N76" s="8">
        <f t="shared" ref="N76:N96" si="14">N75</f>
        <v>28</v>
      </c>
      <c r="O76" s="9">
        <f t="shared" ref="O76:O96" si="15">O75</f>
        <v>0.50118723362727269</v>
      </c>
      <c r="P76" s="9"/>
      <c r="Q76" s="9"/>
      <c r="R76" s="9"/>
      <c r="S76" s="9"/>
      <c r="T76" s="9"/>
      <c r="U76" s="9"/>
    </row>
    <row r="77" spans="1:21" x14ac:dyDescent="0.25">
      <c r="A77" s="14"/>
      <c r="B77" s="14"/>
      <c r="C77" s="14"/>
      <c r="D77" s="14"/>
      <c r="E77" s="14"/>
      <c r="J77" s="8">
        <v>0</v>
      </c>
      <c r="K77" s="8">
        <f t="shared" si="11"/>
        <v>1</v>
      </c>
      <c r="L77" s="8">
        <f t="shared" si="12"/>
        <v>0</v>
      </c>
      <c r="M77" s="8">
        <f t="shared" si="13"/>
        <v>0</v>
      </c>
      <c r="N77" s="8">
        <f t="shared" si="14"/>
        <v>28</v>
      </c>
      <c r="O77" s="9">
        <f t="shared" si="15"/>
        <v>0.50118723362727269</v>
      </c>
      <c r="P77" s="9"/>
      <c r="Q77" s="9"/>
      <c r="R77" s="9"/>
      <c r="S77" s="9"/>
      <c r="T77" s="9"/>
      <c r="U77" s="9"/>
    </row>
    <row r="78" spans="1:21" x14ac:dyDescent="0.25">
      <c r="A78" s="14"/>
      <c r="B78" s="14"/>
      <c r="C78" s="14"/>
      <c r="D78" s="14"/>
      <c r="E78" s="14"/>
      <c r="J78" s="8">
        <v>0</v>
      </c>
      <c r="K78" s="8">
        <f t="shared" si="11"/>
        <v>1</v>
      </c>
      <c r="L78" s="8">
        <f t="shared" si="12"/>
        <v>0</v>
      </c>
      <c r="M78" s="8">
        <f t="shared" si="13"/>
        <v>0</v>
      </c>
      <c r="N78" s="8">
        <f t="shared" si="14"/>
        <v>28</v>
      </c>
      <c r="O78" s="9">
        <f t="shared" si="15"/>
        <v>0.50118723362727269</v>
      </c>
      <c r="P78" s="9"/>
      <c r="Q78" s="9"/>
      <c r="R78" s="9"/>
      <c r="S78" s="9"/>
      <c r="T78" s="9"/>
      <c r="U78" s="9"/>
    </row>
    <row r="79" spans="1:21" x14ac:dyDescent="0.25">
      <c r="A79" s="14"/>
      <c r="B79" s="14"/>
      <c r="C79" s="14"/>
      <c r="D79" s="14"/>
      <c r="E79" s="14"/>
      <c r="J79" s="8">
        <v>0</v>
      </c>
      <c r="K79" s="8">
        <f t="shared" si="11"/>
        <v>1</v>
      </c>
      <c r="L79" s="8">
        <f t="shared" si="12"/>
        <v>0</v>
      </c>
      <c r="M79" s="8">
        <f t="shared" si="13"/>
        <v>0</v>
      </c>
      <c r="N79" s="8">
        <f t="shared" si="14"/>
        <v>28</v>
      </c>
      <c r="O79" s="9">
        <f t="shared" si="15"/>
        <v>0.50118723362727269</v>
      </c>
      <c r="P79" s="9"/>
      <c r="Q79" s="9"/>
      <c r="R79" s="9"/>
      <c r="S79" s="9"/>
      <c r="T79" s="9"/>
      <c r="U79" s="9"/>
    </row>
    <row r="80" spans="1:21" x14ac:dyDescent="0.25">
      <c r="A80" s="14"/>
      <c r="B80" s="14"/>
      <c r="C80" s="14"/>
      <c r="D80" s="14"/>
      <c r="E80" s="14"/>
      <c r="J80" s="8">
        <v>0</v>
      </c>
      <c r="K80" s="8">
        <f t="shared" si="11"/>
        <v>1</v>
      </c>
      <c r="L80" s="8">
        <f t="shared" si="12"/>
        <v>0</v>
      </c>
      <c r="M80" s="8">
        <f t="shared" si="13"/>
        <v>0</v>
      </c>
      <c r="N80" s="8">
        <f t="shared" si="14"/>
        <v>28</v>
      </c>
      <c r="O80" s="9">
        <f t="shared" si="15"/>
        <v>0.50118723362727269</v>
      </c>
      <c r="P80" s="9"/>
      <c r="Q80" s="9"/>
      <c r="R80" s="9"/>
      <c r="S80" s="9"/>
      <c r="T80" s="9"/>
      <c r="U80" s="9"/>
    </row>
    <row r="81" spans="1:21" x14ac:dyDescent="0.25">
      <c r="A81" s="14"/>
      <c r="B81" s="14"/>
      <c r="C81" s="14"/>
      <c r="D81" s="14"/>
      <c r="E81" s="14"/>
      <c r="J81" s="8">
        <v>0</v>
      </c>
      <c r="K81" s="8">
        <f t="shared" si="11"/>
        <v>1</v>
      </c>
      <c r="L81" s="8">
        <f t="shared" si="12"/>
        <v>0</v>
      </c>
      <c r="M81" s="8">
        <f t="shared" si="13"/>
        <v>0</v>
      </c>
      <c r="N81" s="8">
        <f t="shared" si="14"/>
        <v>28</v>
      </c>
      <c r="O81" s="9">
        <f t="shared" si="15"/>
        <v>0.50118723362727269</v>
      </c>
      <c r="P81" s="9"/>
      <c r="Q81" s="9"/>
      <c r="R81" s="9"/>
      <c r="S81" s="9"/>
      <c r="T81" s="9"/>
      <c r="U81" s="9"/>
    </row>
    <row r="82" spans="1:21" x14ac:dyDescent="0.25">
      <c r="A82" s="14"/>
      <c r="B82" s="14"/>
      <c r="C82" s="14"/>
      <c r="D82" s="14"/>
      <c r="E82" s="14"/>
      <c r="J82" s="8">
        <v>0</v>
      </c>
      <c r="K82" s="8">
        <f t="shared" si="11"/>
        <v>1</v>
      </c>
      <c r="L82" s="8">
        <f t="shared" si="12"/>
        <v>0</v>
      </c>
      <c r="M82" s="8">
        <f t="shared" si="13"/>
        <v>0</v>
      </c>
      <c r="N82" s="8">
        <f t="shared" si="14"/>
        <v>28</v>
      </c>
      <c r="O82" s="9">
        <f t="shared" si="15"/>
        <v>0.50118723362727269</v>
      </c>
      <c r="P82" s="9"/>
      <c r="Q82" s="9"/>
      <c r="R82" s="9"/>
      <c r="S82" s="9"/>
      <c r="T82" s="9"/>
      <c r="U82" s="9"/>
    </row>
    <row r="83" spans="1:21" x14ac:dyDescent="0.25">
      <c r="A83" s="14"/>
      <c r="B83" s="14"/>
      <c r="C83" s="14"/>
      <c r="D83" s="14"/>
      <c r="E83" s="14"/>
      <c r="J83" s="8">
        <v>0</v>
      </c>
      <c r="K83" s="8">
        <f t="shared" si="11"/>
        <v>1</v>
      </c>
      <c r="L83" s="8">
        <f t="shared" si="12"/>
        <v>0</v>
      </c>
      <c r="M83" s="8">
        <f t="shared" si="13"/>
        <v>0</v>
      </c>
      <c r="N83" s="8">
        <f t="shared" si="14"/>
        <v>28</v>
      </c>
      <c r="O83" s="9">
        <f t="shared" si="15"/>
        <v>0.50118723362727269</v>
      </c>
      <c r="P83" s="9"/>
      <c r="Q83" s="9"/>
      <c r="R83" s="9"/>
      <c r="S83" s="9"/>
      <c r="T83" s="9"/>
      <c r="U83" s="9"/>
    </row>
    <row r="84" spans="1:21" x14ac:dyDescent="0.25">
      <c r="A84" s="14"/>
      <c r="B84" s="14"/>
      <c r="C84" s="14"/>
      <c r="D84" s="14"/>
      <c r="E84" s="14"/>
      <c r="J84" s="8">
        <v>0</v>
      </c>
      <c r="K84" s="8">
        <f t="shared" si="11"/>
        <v>1</v>
      </c>
      <c r="L84" s="8">
        <f t="shared" si="12"/>
        <v>0</v>
      </c>
      <c r="M84" s="8">
        <f t="shared" si="13"/>
        <v>0</v>
      </c>
      <c r="N84" s="8">
        <f t="shared" si="14"/>
        <v>28</v>
      </c>
      <c r="O84" s="9">
        <f t="shared" si="15"/>
        <v>0.50118723362727269</v>
      </c>
      <c r="P84" s="9"/>
      <c r="Q84" s="9"/>
      <c r="R84" s="9"/>
      <c r="S84" s="9"/>
      <c r="T84" s="9"/>
      <c r="U84" s="9"/>
    </row>
    <row r="85" spans="1:21" x14ac:dyDescent="0.25">
      <c r="A85" s="14"/>
      <c r="B85" s="14"/>
      <c r="C85" s="14"/>
      <c r="D85" s="14"/>
      <c r="E85" s="14"/>
      <c r="J85" s="8">
        <v>0</v>
      </c>
      <c r="K85" s="8">
        <f t="shared" si="11"/>
        <v>1</v>
      </c>
      <c r="L85" s="8">
        <f t="shared" si="12"/>
        <v>0</v>
      </c>
      <c r="M85" s="8">
        <f t="shared" si="13"/>
        <v>0</v>
      </c>
      <c r="N85" s="8">
        <f t="shared" si="14"/>
        <v>28</v>
      </c>
      <c r="O85" s="9">
        <f t="shared" si="15"/>
        <v>0.50118723362727269</v>
      </c>
      <c r="P85" s="9"/>
      <c r="Q85" s="9"/>
      <c r="R85" s="9"/>
      <c r="S85" s="9"/>
      <c r="T85" s="9"/>
      <c r="U85" s="9"/>
    </row>
    <row r="86" spans="1:21" x14ac:dyDescent="0.25">
      <c r="A86" s="14"/>
      <c r="B86" s="14"/>
      <c r="C86" s="14"/>
      <c r="D86" s="14"/>
      <c r="E86" s="14"/>
      <c r="J86" s="8">
        <v>0</v>
      </c>
      <c r="K86" s="8">
        <f t="shared" si="11"/>
        <v>1</v>
      </c>
      <c r="L86" s="8">
        <f t="shared" si="12"/>
        <v>0</v>
      </c>
      <c r="M86" s="8">
        <f t="shared" si="13"/>
        <v>0</v>
      </c>
      <c r="N86" s="8">
        <f t="shared" si="14"/>
        <v>28</v>
      </c>
      <c r="O86" s="9">
        <f t="shared" si="15"/>
        <v>0.50118723362727269</v>
      </c>
      <c r="P86" s="9"/>
      <c r="Q86" s="9"/>
      <c r="R86" s="9"/>
      <c r="S86" s="9"/>
      <c r="T86" s="9"/>
      <c r="U86" s="9"/>
    </row>
    <row r="87" spans="1:21" x14ac:dyDescent="0.25">
      <c r="A87" s="14"/>
      <c r="B87" s="14"/>
      <c r="C87" s="14"/>
      <c r="D87" s="14"/>
      <c r="E87" s="14"/>
      <c r="J87" s="8">
        <v>0</v>
      </c>
      <c r="K87" s="8">
        <f t="shared" si="11"/>
        <v>1</v>
      </c>
      <c r="L87" s="8">
        <f t="shared" si="12"/>
        <v>0</v>
      </c>
      <c r="M87" s="8">
        <f t="shared" si="13"/>
        <v>0</v>
      </c>
      <c r="N87" s="8">
        <f t="shared" si="14"/>
        <v>28</v>
      </c>
      <c r="O87" s="9">
        <f t="shared" si="15"/>
        <v>0.50118723362727269</v>
      </c>
      <c r="P87" s="9"/>
      <c r="Q87" s="9"/>
      <c r="R87" s="9"/>
      <c r="S87" s="9"/>
      <c r="T87" s="9"/>
      <c r="U87" s="9"/>
    </row>
    <row r="88" spans="1:21" x14ac:dyDescent="0.25">
      <c r="A88" s="14"/>
      <c r="B88" s="14"/>
      <c r="C88" s="14"/>
      <c r="D88" s="14"/>
      <c r="E88" s="14"/>
      <c r="J88" s="8">
        <v>0</v>
      </c>
      <c r="K88" s="8">
        <f t="shared" si="11"/>
        <v>1</v>
      </c>
      <c r="L88" s="8">
        <f t="shared" si="12"/>
        <v>0</v>
      </c>
      <c r="M88" s="8">
        <f t="shared" si="13"/>
        <v>0</v>
      </c>
      <c r="N88" s="8">
        <f t="shared" si="14"/>
        <v>28</v>
      </c>
      <c r="O88" s="9">
        <f t="shared" si="15"/>
        <v>0.50118723362727269</v>
      </c>
      <c r="P88" s="9"/>
      <c r="Q88" s="9"/>
      <c r="R88" s="9"/>
      <c r="S88" s="9"/>
      <c r="T88" s="9"/>
      <c r="U88" s="9"/>
    </row>
    <row r="89" spans="1:21" x14ac:dyDescent="0.25">
      <c r="A89" s="14"/>
      <c r="B89" s="14"/>
      <c r="C89" s="14"/>
      <c r="D89" s="14"/>
      <c r="E89" s="14"/>
      <c r="J89" s="8">
        <v>0</v>
      </c>
      <c r="K89" s="8">
        <f t="shared" si="11"/>
        <v>1</v>
      </c>
      <c r="L89" s="8">
        <f t="shared" si="12"/>
        <v>0</v>
      </c>
      <c r="M89" s="8">
        <f t="shared" si="13"/>
        <v>0</v>
      </c>
      <c r="N89" s="8">
        <f t="shared" si="14"/>
        <v>28</v>
      </c>
      <c r="O89" s="9">
        <f t="shared" si="15"/>
        <v>0.50118723362727269</v>
      </c>
      <c r="P89" s="9"/>
      <c r="Q89" s="9"/>
      <c r="R89" s="9"/>
      <c r="S89" s="9"/>
      <c r="T89" s="9"/>
      <c r="U89" s="9"/>
    </row>
    <row r="90" spans="1:21" x14ac:dyDescent="0.25">
      <c r="A90" s="14"/>
      <c r="B90" s="14"/>
      <c r="C90" s="14"/>
      <c r="D90" s="14"/>
      <c r="E90" s="14"/>
      <c r="J90" s="8">
        <v>0</v>
      </c>
      <c r="K90" s="8">
        <f t="shared" si="11"/>
        <v>1</v>
      </c>
      <c r="L90" s="8">
        <f t="shared" si="12"/>
        <v>0</v>
      </c>
      <c r="M90" s="8">
        <f t="shared" si="13"/>
        <v>0</v>
      </c>
      <c r="N90" s="8">
        <f t="shared" si="14"/>
        <v>28</v>
      </c>
      <c r="O90" s="9">
        <f t="shared" si="15"/>
        <v>0.50118723362727269</v>
      </c>
      <c r="P90" s="9"/>
      <c r="Q90" s="9"/>
      <c r="R90" s="9"/>
      <c r="S90" s="9"/>
      <c r="T90" s="9"/>
      <c r="U90" s="9"/>
    </row>
    <row r="91" spans="1:21" x14ac:dyDescent="0.25">
      <c r="A91" s="14"/>
      <c r="B91" s="14"/>
      <c r="C91" s="14"/>
      <c r="D91" s="14"/>
      <c r="E91" s="14"/>
      <c r="J91" s="8">
        <v>0</v>
      </c>
      <c r="K91" s="8">
        <f t="shared" si="11"/>
        <v>1</v>
      </c>
      <c r="L91" s="8">
        <f t="shared" si="12"/>
        <v>0</v>
      </c>
      <c r="M91" s="8">
        <f t="shared" si="13"/>
        <v>0</v>
      </c>
      <c r="N91" s="8">
        <f t="shared" si="14"/>
        <v>28</v>
      </c>
      <c r="O91" s="9">
        <f t="shared" si="15"/>
        <v>0.50118723362727269</v>
      </c>
      <c r="P91" s="9"/>
      <c r="Q91" s="9"/>
      <c r="R91" s="9"/>
      <c r="S91" s="9"/>
      <c r="T91" s="9"/>
      <c r="U91" s="9"/>
    </row>
    <row r="92" spans="1:21" x14ac:dyDescent="0.25">
      <c r="A92" s="14"/>
      <c r="B92" s="14"/>
      <c r="C92" s="14"/>
      <c r="D92" s="14"/>
      <c r="E92" s="14"/>
      <c r="J92" s="8">
        <v>0</v>
      </c>
      <c r="K92" s="8">
        <f t="shared" si="11"/>
        <v>1</v>
      </c>
      <c r="L92" s="8">
        <f t="shared" si="12"/>
        <v>0</v>
      </c>
      <c r="M92" s="8">
        <f t="shared" si="13"/>
        <v>0</v>
      </c>
      <c r="N92" s="8">
        <f t="shared" si="14"/>
        <v>28</v>
      </c>
      <c r="O92" s="9">
        <f t="shared" si="15"/>
        <v>0.50118723362727269</v>
      </c>
      <c r="P92" s="9"/>
      <c r="Q92" s="9"/>
      <c r="R92" s="9"/>
      <c r="S92" s="9"/>
      <c r="T92" s="9"/>
      <c r="U92" s="9"/>
    </row>
    <row r="93" spans="1:21" x14ac:dyDescent="0.25">
      <c r="A93" s="14"/>
      <c r="B93" s="14"/>
      <c r="C93" s="14"/>
      <c r="D93" s="14"/>
      <c r="E93" s="14"/>
      <c r="J93" s="8">
        <v>0</v>
      </c>
      <c r="K93" s="8">
        <f t="shared" si="11"/>
        <v>1</v>
      </c>
      <c r="L93" s="8">
        <f t="shared" si="12"/>
        <v>0</v>
      </c>
      <c r="M93" s="8">
        <f t="shared" si="13"/>
        <v>0</v>
      </c>
      <c r="N93" s="8">
        <f t="shared" si="14"/>
        <v>28</v>
      </c>
      <c r="O93" s="9">
        <f t="shared" si="15"/>
        <v>0.50118723362727269</v>
      </c>
      <c r="P93" s="9"/>
      <c r="Q93" s="9"/>
      <c r="R93" s="9"/>
      <c r="S93" s="9"/>
      <c r="T93" s="9"/>
      <c r="U93" s="9"/>
    </row>
    <row r="94" spans="1:21" x14ac:dyDescent="0.25">
      <c r="A94" s="14"/>
      <c r="B94" s="14"/>
      <c r="C94" s="14"/>
      <c r="D94" s="14"/>
      <c r="E94" s="14"/>
      <c r="J94" s="8">
        <v>0</v>
      </c>
      <c r="K94" s="8">
        <f t="shared" si="11"/>
        <v>1</v>
      </c>
      <c r="L94" s="8">
        <f t="shared" si="12"/>
        <v>0</v>
      </c>
      <c r="M94" s="8">
        <f t="shared" si="13"/>
        <v>0</v>
      </c>
      <c r="N94" s="8">
        <f t="shared" si="14"/>
        <v>28</v>
      </c>
      <c r="O94" s="9">
        <f t="shared" si="15"/>
        <v>0.50118723362727269</v>
      </c>
      <c r="P94" s="9"/>
      <c r="Q94" s="9"/>
      <c r="R94" s="9"/>
      <c r="S94" s="9"/>
      <c r="T94" s="9"/>
      <c r="U94" s="9"/>
    </row>
    <row r="95" spans="1:21" x14ac:dyDescent="0.25">
      <c r="A95" s="14"/>
      <c r="B95" s="14"/>
      <c r="C95" s="14"/>
      <c r="D95" s="14"/>
      <c r="E95" s="14"/>
      <c r="J95" s="8">
        <v>0</v>
      </c>
      <c r="K95" s="8">
        <f t="shared" si="11"/>
        <v>1</v>
      </c>
      <c r="L95" s="8">
        <f t="shared" si="12"/>
        <v>0</v>
      </c>
      <c r="M95" s="8">
        <f t="shared" si="13"/>
        <v>0</v>
      </c>
      <c r="N95" s="8">
        <f t="shared" si="14"/>
        <v>28</v>
      </c>
      <c r="O95" s="9">
        <f t="shared" si="15"/>
        <v>0.50118723362727269</v>
      </c>
      <c r="P95" s="9"/>
      <c r="Q95" s="9"/>
      <c r="R95" s="9"/>
      <c r="S95" s="9"/>
      <c r="T95" s="9"/>
      <c r="U95" s="9"/>
    </row>
    <row r="96" spans="1:21" x14ac:dyDescent="0.25">
      <c r="A96" s="14"/>
      <c r="B96" s="14"/>
      <c r="C96" s="14"/>
      <c r="D96" s="14"/>
      <c r="E96" s="14"/>
      <c r="J96" s="8">
        <v>0</v>
      </c>
      <c r="K96" s="8">
        <f t="shared" si="11"/>
        <v>1</v>
      </c>
      <c r="L96" s="8">
        <f t="shared" si="12"/>
        <v>0</v>
      </c>
      <c r="M96" s="8">
        <f t="shared" si="13"/>
        <v>0</v>
      </c>
      <c r="N96" s="8">
        <f t="shared" si="14"/>
        <v>28</v>
      </c>
      <c r="O96" s="9">
        <f t="shared" si="15"/>
        <v>0.50118723362727269</v>
      </c>
      <c r="P96" s="9"/>
      <c r="Q96" s="9"/>
      <c r="R96" s="9"/>
      <c r="S96" s="9"/>
      <c r="T96" s="9"/>
      <c r="U96" s="9"/>
    </row>
    <row r="97" spans="1:5" x14ac:dyDescent="0.25">
      <c r="A97" s="14"/>
      <c r="B97" s="14"/>
      <c r="C97" s="14"/>
      <c r="D97" s="14"/>
      <c r="E97" s="14"/>
    </row>
    <row r="98" spans="1:5" x14ac:dyDescent="0.25">
      <c r="A98" s="14"/>
      <c r="B98" s="14"/>
      <c r="C98" s="14"/>
      <c r="D98" s="14"/>
      <c r="E98" s="14"/>
    </row>
    <row r="99" spans="1:5" x14ac:dyDescent="0.25">
      <c r="A99" s="14"/>
      <c r="B99" s="14"/>
      <c r="C99" s="14"/>
      <c r="D99" s="14"/>
      <c r="E99" s="14"/>
    </row>
    <row r="100" spans="1:5" x14ac:dyDescent="0.25">
      <c r="A100" s="14"/>
      <c r="B100" s="14"/>
      <c r="C100" s="14"/>
      <c r="D100" s="14"/>
      <c r="E100" s="14"/>
    </row>
    <row r="101" spans="1:5" x14ac:dyDescent="0.25">
      <c r="A101" s="14"/>
      <c r="B101" s="14"/>
      <c r="C101" s="14"/>
      <c r="D101" s="14"/>
      <c r="E101" s="14"/>
    </row>
    <row r="102" spans="1:5" x14ac:dyDescent="0.25">
      <c r="A102" s="14"/>
      <c r="B102" s="14"/>
      <c r="C102" s="14"/>
      <c r="D102" s="14"/>
      <c r="E102" s="14"/>
    </row>
    <row r="103" spans="1:5" x14ac:dyDescent="0.25">
      <c r="A103" s="14"/>
      <c r="B103" s="14"/>
      <c r="C103" s="14"/>
      <c r="D103" s="14"/>
      <c r="E103" s="14"/>
    </row>
    <row r="104" spans="1:5" x14ac:dyDescent="0.25">
      <c r="A104" s="14"/>
      <c r="B104" s="14"/>
      <c r="C104" s="14"/>
      <c r="D104" s="14"/>
      <c r="E104" s="14"/>
    </row>
    <row r="105" spans="1:5" x14ac:dyDescent="0.25">
      <c r="A105" s="14"/>
      <c r="B105" s="14"/>
      <c r="C105" s="14"/>
      <c r="D105" s="14"/>
      <c r="E105" s="14"/>
    </row>
    <row r="106" spans="1:5" x14ac:dyDescent="0.25">
      <c r="A106" s="14"/>
      <c r="B106" s="14"/>
      <c r="C106" s="14"/>
      <c r="D106" s="14"/>
      <c r="E106" s="14"/>
    </row>
    <row r="107" spans="1:5" x14ac:dyDescent="0.25">
      <c r="A107" s="14"/>
      <c r="B107" s="14"/>
      <c r="C107" s="14"/>
      <c r="D107" s="14"/>
      <c r="E107" s="14"/>
    </row>
    <row r="108" spans="1:5" x14ac:dyDescent="0.25">
      <c r="A108" s="14"/>
      <c r="B108" s="14"/>
      <c r="C108" s="14"/>
      <c r="D108" s="14"/>
      <c r="E108" s="14"/>
    </row>
    <row r="109" spans="1:5" x14ac:dyDescent="0.25">
      <c r="A109" s="14"/>
      <c r="B109" s="14"/>
      <c r="C109" s="14"/>
      <c r="D109" s="14"/>
      <c r="E109" s="14"/>
    </row>
    <row r="110" spans="1:5" x14ac:dyDescent="0.25">
      <c r="A110" s="14"/>
      <c r="B110" s="14"/>
      <c r="C110" s="14"/>
      <c r="D110" s="14"/>
      <c r="E110" s="14"/>
    </row>
    <row r="111" spans="1:5" x14ac:dyDescent="0.25">
      <c r="A111" s="14"/>
      <c r="B111" s="14"/>
      <c r="C111" s="14"/>
      <c r="D111" s="14"/>
      <c r="E111" s="14"/>
    </row>
    <row r="112" spans="1:5" x14ac:dyDescent="0.25">
      <c r="A112" s="14"/>
      <c r="B112" s="14"/>
      <c r="C112" s="14"/>
      <c r="D112" s="14"/>
      <c r="E112" s="14"/>
    </row>
    <row r="113" spans="1:5" x14ac:dyDescent="0.25">
      <c r="A113" s="14"/>
      <c r="B113" s="14"/>
      <c r="C113" s="14"/>
      <c r="D113" s="14"/>
      <c r="E113" s="14"/>
    </row>
    <row r="114" spans="1:5" x14ac:dyDescent="0.25">
      <c r="A114" s="14"/>
      <c r="B114" s="14"/>
      <c r="C114" s="14"/>
      <c r="D114" s="14"/>
      <c r="E114" s="14"/>
    </row>
    <row r="115" spans="1:5" x14ac:dyDescent="0.25">
      <c r="A115" s="14"/>
      <c r="B115" s="14"/>
      <c r="C115" s="14"/>
      <c r="D115" s="14"/>
      <c r="E115" s="14"/>
    </row>
    <row r="116" spans="1:5" x14ac:dyDescent="0.25">
      <c r="A116" s="14"/>
      <c r="B116" s="14"/>
      <c r="C116" s="14"/>
      <c r="D116" s="14"/>
      <c r="E116" s="14"/>
    </row>
    <row r="117" spans="1:5" x14ac:dyDescent="0.25">
      <c r="A117" s="14"/>
      <c r="B117" s="14"/>
      <c r="C117" s="14"/>
      <c r="D117" s="14"/>
      <c r="E117" s="14"/>
    </row>
    <row r="118" spans="1:5" x14ac:dyDescent="0.25">
      <c r="A118" s="14"/>
      <c r="B118" s="14"/>
      <c r="C118" s="14"/>
      <c r="D118" s="14"/>
      <c r="E118" s="14"/>
    </row>
    <row r="119" spans="1:5" x14ac:dyDescent="0.25">
      <c r="A119" s="14"/>
      <c r="B119" s="14"/>
      <c r="C119" s="14"/>
      <c r="D119" s="14"/>
      <c r="E119" s="14"/>
    </row>
    <row r="120" spans="1:5" x14ac:dyDescent="0.25">
      <c r="A120" s="14"/>
      <c r="B120" s="14"/>
      <c r="C120" s="14"/>
      <c r="D120" s="14"/>
      <c r="E120" s="14"/>
    </row>
    <row r="121" spans="1:5" x14ac:dyDescent="0.25">
      <c r="A121" s="14"/>
      <c r="B121" s="14"/>
      <c r="C121" s="14"/>
      <c r="D121" s="14"/>
      <c r="E121" s="14"/>
    </row>
    <row r="122" spans="1:5" x14ac:dyDescent="0.25">
      <c r="A122" s="14"/>
      <c r="B122" s="14"/>
      <c r="C122" s="14"/>
      <c r="D122" s="14"/>
      <c r="E122" s="14"/>
    </row>
    <row r="123" spans="1:5" x14ac:dyDescent="0.25">
      <c r="A123" s="14"/>
      <c r="B123" s="14"/>
      <c r="C123" s="14"/>
      <c r="D123" s="14"/>
      <c r="E123" s="14"/>
    </row>
    <row r="124" spans="1:5" x14ac:dyDescent="0.25">
      <c r="A124" s="14"/>
      <c r="B124" s="14"/>
      <c r="C124" s="14"/>
      <c r="D124" s="14"/>
      <c r="E124" s="14"/>
    </row>
    <row r="125" spans="1:5" x14ac:dyDescent="0.25">
      <c r="A125" s="14"/>
      <c r="B125" s="14"/>
      <c r="C125" s="14"/>
      <c r="D125" s="14"/>
      <c r="E125" s="14"/>
    </row>
    <row r="126" spans="1:5" x14ac:dyDescent="0.25">
      <c r="A126" s="14"/>
      <c r="B126" s="14"/>
      <c r="C126" s="14"/>
      <c r="D126" s="14"/>
      <c r="E126" s="14"/>
    </row>
    <row r="127" spans="1:5" x14ac:dyDescent="0.25">
      <c r="A127" s="14"/>
      <c r="B127" s="14"/>
      <c r="C127" s="14"/>
      <c r="D127" s="14"/>
      <c r="E127" s="14"/>
    </row>
    <row r="128" spans="1:5" x14ac:dyDescent="0.25">
      <c r="A128" s="14"/>
      <c r="B128" s="14"/>
      <c r="C128" s="14"/>
      <c r="D128" s="14"/>
      <c r="E128" s="14"/>
    </row>
    <row r="129" spans="1:5" x14ac:dyDescent="0.25">
      <c r="A129" s="14"/>
      <c r="B129" s="14"/>
      <c r="C129" s="14"/>
      <c r="D129" s="14"/>
      <c r="E129" s="14"/>
    </row>
    <row r="130" spans="1:5" x14ac:dyDescent="0.25">
      <c r="A130" s="14"/>
      <c r="B130" s="14"/>
      <c r="C130" s="14"/>
      <c r="D130" s="14"/>
      <c r="E130" s="14"/>
    </row>
    <row r="131" spans="1:5" x14ac:dyDescent="0.25">
      <c r="A131" s="14"/>
      <c r="B131" s="14"/>
      <c r="C131" s="14"/>
      <c r="D131" s="14"/>
      <c r="E131" s="14"/>
    </row>
    <row r="132" spans="1:5" x14ac:dyDescent="0.25">
      <c r="A132" s="14"/>
      <c r="B132" s="14"/>
      <c r="C132" s="14"/>
      <c r="D132" s="14"/>
      <c r="E132" s="14"/>
    </row>
    <row r="133" spans="1:5" x14ac:dyDescent="0.25">
      <c r="A133" s="14"/>
      <c r="B133" s="14"/>
      <c r="C133" s="14"/>
      <c r="D133" s="14"/>
      <c r="E133" s="14"/>
    </row>
    <row r="134" spans="1:5" x14ac:dyDescent="0.25">
      <c r="A134" s="14"/>
      <c r="B134" s="14"/>
      <c r="C134" s="14"/>
      <c r="D134" s="14"/>
      <c r="E134" s="14"/>
    </row>
    <row r="135" spans="1:5" x14ac:dyDescent="0.25">
      <c r="A135" s="14"/>
      <c r="B135" s="14"/>
      <c r="C135" s="14"/>
      <c r="D135" s="14"/>
      <c r="E135" s="14"/>
    </row>
    <row r="136" spans="1:5" x14ac:dyDescent="0.25">
      <c r="A136" s="14"/>
      <c r="B136" s="14"/>
      <c r="C136" s="14"/>
      <c r="D136" s="14"/>
      <c r="E136" s="14"/>
    </row>
    <row r="137" spans="1:5" x14ac:dyDescent="0.25">
      <c r="A137" s="14"/>
      <c r="B137" s="14"/>
      <c r="C137" s="14"/>
      <c r="D137" s="14"/>
      <c r="E137" s="14"/>
    </row>
    <row r="138" spans="1:5" x14ac:dyDescent="0.25">
      <c r="A138" s="14"/>
      <c r="B138" s="14"/>
      <c r="C138" s="14"/>
      <c r="D138" s="14"/>
      <c r="E138" s="14"/>
    </row>
    <row r="139" spans="1:5" x14ac:dyDescent="0.25">
      <c r="A139" s="14"/>
      <c r="B139" s="14"/>
      <c r="C139" s="14"/>
      <c r="D139" s="14"/>
      <c r="E139" s="14"/>
    </row>
    <row r="140" spans="1:5" x14ac:dyDescent="0.25">
      <c r="A140" s="14"/>
      <c r="B140" s="14"/>
      <c r="C140" s="14"/>
      <c r="D140" s="14"/>
      <c r="E140" s="14"/>
    </row>
    <row r="141" spans="1:5" x14ac:dyDescent="0.25">
      <c r="A141" s="14"/>
      <c r="B141" s="14"/>
      <c r="C141" s="14"/>
      <c r="D141" s="14"/>
      <c r="E141" s="14"/>
    </row>
    <row r="142" spans="1:5" x14ac:dyDescent="0.25">
      <c r="A142" s="14"/>
      <c r="B142" s="14"/>
      <c r="C142" s="14"/>
      <c r="D142" s="14"/>
      <c r="E142" s="14"/>
    </row>
    <row r="143" spans="1:5" x14ac:dyDescent="0.25">
      <c r="A143" s="14"/>
      <c r="B143" s="14"/>
      <c r="C143" s="14"/>
      <c r="D143" s="14"/>
      <c r="E143" s="14"/>
    </row>
    <row r="144" spans="1:5" x14ac:dyDescent="0.25">
      <c r="A144" s="14"/>
      <c r="B144" s="14"/>
      <c r="C144" s="14"/>
      <c r="D144" s="14"/>
      <c r="E144" s="14"/>
    </row>
    <row r="145" spans="1:5" x14ac:dyDescent="0.25">
      <c r="A145" s="14"/>
      <c r="B145" s="14"/>
      <c r="C145" s="14"/>
      <c r="D145" s="14"/>
      <c r="E145" s="14"/>
    </row>
    <row r="146" spans="1:5" x14ac:dyDescent="0.25">
      <c r="A146" s="14"/>
      <c r="B146" s="14"/>
      <c r="C146" s="14"/>
      <c r="D146" s="14"/>
      <c r="E146" s="14"/>
    </row>
    <row r="147" spans="1:5" x14ac:dyDescent="0.25">
      <c r="A147" s="14"/>
      <c r="B147" s="14"/>
      <c r="C147" s="14"/>
      <c r="D147" s="14"/>
      <c r="E147" s="14"/>
    </row>
    <row r="148" spans="1:5" x14ac:dyDescent="0.25">
      <c r="A148" s="14"/>
      <c r="B148" s="14"/>
      <c r="C148" s="14"/>
      <c r="D148" s="14"/>
      <c r="E148" s="14"/>
    </row>
    <row r="149" spans="1:5" x14ac:dyDescent="0.25">
      <c r="A149" s="14"/>
      <c r="B149" s="14"/>
      <c r="C149" s="14"/>
      <c r="D149" s="14"/>
      <c r="E149" s="14"/>
    </row>
    <row r="150" spans="1:5" x14ac:dyDescent="0.25">
      <c r="A150" s="14"/>
      <c r="B150" s="14"/>
      <c r="C150" s="14"/>
      <c r="D150" s="14"/>
      <c r="E150" s="14"/>
    </row>
    <row r="151" spans="1:5" x14ac:dyDescent="0.25">
      <c r="A151" s="14"/>
      <c r="B151" s="14"/>
      <c r="C151" s="14"/>
      <c r="D151" s="14"/>
      <c r="E151" s="14"/>
    </row>
    <row r="152" spans="1:5" x14ac:dyDescent="0.25">
      <c r="A152" s="14"/>
      <c r="B152" s="14"/>
      <c r="C152" s="14"/>
      <c r="D152" s="14"/>
      <c r="E152" s="14"/>
    </row>
    <row r="153" spans="1:5" x14ac:dyDescent="0.25">
      <c r="A153" s="14"/>
      <c r="B153" s="14"/>
      <c r="C153" s="14"/>
      <c r="D153" s="14"/>
      <c r="E153" s="14"/>
    </row>
    <row r="154" spans="1:5" x14ac:dyDescent="0.25">
      <c r="A154" s="14"/>
      <c r="B154" s="14"/>
      <c r="C154" s="14"/>
      <c r="D154" s="14"/>
      <c r="E154" s="14"/>
    </row>
    <row r="155" spans="1:5" x14ac:dyDescent="0.25">
      <c r="A155" s="14"/>
      <c r="B155" s="14"/>
      <c r="C155" s="14"/>
      <c r="D155" s="14"/>
      <c r="E155" s="14"/>
    </row>
    <row r="156" spans="1:5" x14ac:dyDescent="0.25">
      <c r="A156" s="14"/>
      <c r="B156" s="14"/>
      <c r="C156" s="14"/>
      <c r="D156" s="14"/>
      <c r="E156" s="14"/>
    </row>
    <row r="157" spans="1:5" x14ac:dyDescent="0.25">
      <c r="A157" s="14"/>
      <c r="B157" s="14"/>
      <c r="C157" s="14"/>
      <c r="D157" s="14"/>
      <c r="E157" s="14"/>
    </row>
    <row r="158" spans="1:5" x14ac:dyDescent="0.25">
      <c r="A158" s="14"/>
      <c r="B158" s="14"/>
      <c r="C158" s="14"/>
      <c r="D158" s="14"/>
      <c r="E158" s="14"/>
    </row>
    <row r="159" spans="1:5" x14ac:dyDescent="0.25">
      <c r="A159" s="14"/>
      <c r="B159" s="14"/>
      <c r="C159" s="14"/>
      <c r="D159" s="14"/>
      <c r="E159" s="14"/>
    </row>
    <row r="160" spans="1:5" x14ac:dyDescent="0.25">
      <c r="A160" s="14"/>
      <c r="B160" s="14"/>
      <c r="C160" s="14"/>
      <c r="D160" s="14"/>
      <c r="E160" s="14"/>
    </row>
    <row r="161" spans="1:5" x14ac:dyDescent="0.25">
      <c r="A161" s="14"/>
      <c r="B161" s="14"/>
      <c r="C161" s="14"/>
      <c r="D161" s="14"/>
      <c r="E161" s="14"/>
    </row>
    <row r="162" spans="1:5" x14ac:dyDescent="0.25">
      <c r="A162" s="14"/>
      <c r="B162" s="14"/>
      <c r="C162" s="14"/>
      <c r="D162" s="14"/>
      <c r="E162" s="14"/>
    </row>
    <row r="163" spans="1:5" x14ac:dyDescent="0.25">
      <c r="A163" s="14"/>
      <c r="B163" s="14"/>
      <c r="C163" s="14"/>
      <c r="D163" s="14"/>
      <c r="E163" s="14"/>
    </row>
    <row r="164" spans="1:5" x14ac:dyDescent="0.25">
      <c r="A164" s="14"/>
      <c r="B164" s="14"/>
      <c r="C164" s="14"/>
      <c r="D164" s="14"/>
      <c r="E164" s="14"/>
    </row>
    <row r="165" spans="1:5" x14ac:dyDescent="0.25">
      <c r="A165" s="14"/>
      <c r="B165" s="14"/>
      <c r="C165" s="14"/>
      <c r="D165" s="14"/>
      <c r="E165" s="14"/>
    </row>
    <row r="166" spans="1:5" x14ac:dyDescent="0.25">
      <c r="A166" s="14"/>
      <c r="B166" s="14"/>
      <c r="C166" s="14"/>
      <c r="D166" s="14"/>
      <c r="E166" s="14"/>
    </row>
    <row r="167" spans="1:5" x14ac:dyDescent="0.25">
      <c r="A167" s="14"/>
      <c r="B167" s="14"/>
      <c r="C167" s="14"/>
      <c r="D167" s="14"/>
      <c r="E167" s="14"/>
    </row>
    <row r="168" spans="1:5" x14ac:dyDescent="0.25">
      <c r="A168" s="14"/>
      <c r="B168" s="14"/>
      <c r="C168" s="14"/>
      <c r="D168" s="14"/>
      <c r="E168" s="14"/>
    </row>
    <row r="169" spans="1:5" x14ac:dyDescent="0.25">
      <c r="A169" s="14"/>
      <c r="B169" s="14"/>
      <c r="C169" s="14"/>
      <c r="D169" s="14"/>
      <c r="E169" s="14"/>
    </row>
    <row r="170" spans="1:5" x14ac:dyDescent="0.25">
      <c r="A170" s="14"/>
      <c r="B170" s="14"/>
      <c r="C170" s="14"/>
      <c r="D170" s="14"/>
      <c r="E170" s="14"/>
    </row>
    <row r="171" spans="1:5" x14ac:dyDescent="0.25">
      <c r="A171" s="14"/>
      <c r="B171" s="14"/>
      <c r="C171" s="14"/>
      <c r="D171" s="14"/>
      <c r="E171" s="14"/>
    </row>
    <row r="172" spans="1:5" x14ac:dyDescent="0.25">
      <c r="A172" s="14"/>
      <c r="B172" s="14"/>
      <c r="C172" s="14"/>
      <c r="D172" s="14"/>
      <c r="E172" s="14"/>
    </row>
    <row r="173" spans="1:5" x14ac:dyDescent="0.25">
      <c r="A173" s="14"/>
      <c r="B173" s="14"/>
      <c r="C173" s="14"/>
      <c r="D173" s="14"/>
      <c r="E173" s="14"/>
    </row>
    <row r="174" spans="1:5" x14ac:dyDescent="0.25">
      <c r="A174" s="14"/>
      <c r="B174" s="14"/>
      <c r="C174" s="14"/>
      <c r="D174" s="14"/>
      <c r="E174" s="14"/>
    </row>
    <row r="175" spans="1:5" x14ac:dyDescent="0.25">
      <c r="A175" s="14"/>
      <c r="B175" s="14"/>
      <c r="C175" s="14"/>
      <c r="D175" s="14"/>
      <c r="E175" s="14"/>
    </row>
    <row r="176" spans="1:5" x14ac:dyDescent="0.25">
      <c r="A176" s="14"/>
      <c r="B176" s="14"/>
      <c r="C176" s="14"/>
      <c r="D176" s="14"/>
      <c r="E176" s="14"/>
    </row>
    <row r="177" spans="1:5" x14ac:dyDescent="0.25">
      <c r="A177" s="14"/>
      <c r="B177" s="14"/>
      <c r="C177" s="14"/>
      <c r="D177" s="14"/>
      <c r="E177" s="14"/>
    </row>
    <row r="178" spans="1:5" x14ac:dyDescent="0.25">
      <c r="A178" s="14"/>
      <c r="B178" s="14"/>
      <c r="C178" s="14"/>
      <c r="D178" s="14"/>
      <c r="E178" s="14"/>
    </row>
    <row r="179" spans="1:5" x14ac:dyDescent="0.25">
      <c r="A179" s="14"/>
      <c r="B179" s="14"/>
      <c r="C179" s="14"/>
      <c r="D179" s="14"/>
      <c r="E179" s="14"/>
    </row>
    <row r="180" spans="1:5" x14ac:dyDescent="0.25">
      <c r="A180" s="14"/>
      <c r="B180" s="14"/>
      <c r="C180" s="14"/>
      <c r="D180" s="14"/>
      <c r="E180" s="14"/>
    </row>
    <row r="181" spans="1:5" x14ac:dyDescent="0.25">
      <c r="A181" s="14"/>
      <c r="B181" s="14"/>
      <c r="C181" s="14"/>
      <c r="D181" s="14"/>
      <c r="E181" s="14"/>
    </row>
    <row r="182" spans="1:5" x14ac:dyDescent="0.25">
      <c r="A182" s="14"/>
      <c r="B182" s="14"/>
      <c r="C182" s="14"/>
      <c r="D182" s="14"/>
      <c r="E182" s="14"/>
    </row>
    <row r="183" spans="1:5" x14ac:dyDescent="0.25">
      <c r="A183" s="14"/>
      <c r="B183" s="14"/>
      <c r="C183" s="14"/>
      <c r="D183" s="14"/>
      <c r="E183" s="14"/>
    </row>
    <row r="184" spans="1:5" x14ac:dyDescent="0.25">
      <c r="A184" s="14"/>
      <c r="B184" s="14"/>
      <c r="C184" s="14"/>
      <c r="D184" s="14"/>
      <c r="E184" s="14"/>
    </row>
    <row r="185" spans="1:5" x14ac:dyDescent="0.25">
      <c r="A185" s="14"/>
      <c r="B185" s="14"/>
      <c r="C185" s="14"/>
      <c r="D185" s="14"/>
      <c r="E185" s="14"/>
    </row>
    <row r="186" spans="1:5" x14ac:dyDescent="0.25">
      <c r="A186" s="14"/>
      <c r="B186" s="14"/>
      <c r="C186" s="14"/>
      <c r="D186" s="14"/>
      <c r="E186" s="14"/>
    </row>
    <row r="187" spans="1:5" x14ac:dyDescent="0.25">
      <c r="A187" s="14"/>
      <c r="B187" s="14"/>
      <c r="C187" s="14"/>
      <c r="D187" s="14"/>
      <c r="E187" s="14"/>
    </row>
    <row r="188" spans="1:5" x14ac:dyDescent="0.25">
      <c r="A188" s="14"/>
      <c r="B188" s="14"/>
      <c r="C188" s="14"/>
      <c r="D188" s="14"/>
      <c r="E188" s="14"/>
    </row>
    <row r="189" spans="1:5" x14ac:dyDescent="0.25">
      <c r="A189" s="14"/>
      <c r="B189" s="14"/>
      <c r="C189" s="14"/>
      <c r="D189" s="14"/>
      <c r="E189" s="14"/>
    </row>
    <row r="190" spans="1:5" x14ac:dyDescent="0.25">
      <c r="A190" s="14"/>
      <c r="B190" s="14"/>
      <c r="C190" s="14"/>
      <c r="D190" s="14"/>
      <c r="E190" s="14"/>
    </row>
    <row r="191" spans="1:5" x14ac:dyDescent="0.25">
      <c r="A191" s="14"/>
      <c r="B191" s="14"/>
      <c r="C191" s="14"/>
      <c r="D191" s="14"/>
      <c r="E191" s="14"/>
    </row>
    <row r="192" spans="1:5" x14ac:dyDescent="0.25">
      <c r="A192" s="14"/>
      <c r="B192" s="14"/>
      <c r="C192" s="14"/>
      <c r="D192" s="14"/>
      <c r="E192" s="14"/>
    </row>
    <row r="193" spans="1:5" x14ac:dyDescent="0.25">
      <c r="A193" s="14"/>
      <c r="B193" s="14"/>
      <c r="C193" s="14"/>
      <c r="D193" s="14"/>
      <c r="E193" s="14"/>
    </row>
    <row r="194" spans="1:5" x14ac:dyDescent="0.25">
      <c r="A194" s="14"/>
      <c r="B194" s="14"/>
      <c r="C194" s="14"/>
      <c r="D194" s="14"/>
      <c r="E194" s="14"/>
    </row>
    <row r="195" spans="1:5" x14ac:dyDescent="0.25">
      <c r="A195" s="14"/>
      <c r="B195" s="14"/>
      <c r="C195" s="14"/>
      <c r="D195" s="14"/>
      <c r="E195" s="14"/>
    </row>
    <row r="196" spans="1:5" x14ac:dyDescent="0.25">
      <c r="A196" s="14"/>
      <c r="B196" s="14"/>
      <c r="C196" s="14"/>
      <c r="D196" s="14"/>
      <c r="E196" s="14"/>
    </row>
    <row r="197" spans="1:5" x14ac:dyDescent="0.25">
      <c r="A197" s="14"/>
      <c r="B197" s="14"/>
      <c r="C197" s="14"/>
      <c r="D197" s="14"/>
      <c r="E197" s="14"/>
    </row>
    <row r="198" spans="1:5" x14ac:dyDescent="0.25">
      <c r="A198" s="14"/>
      <c r="B198" s="14"/>
      <c r="C198" s="14"/>
      <c r="D198" s="14"/>
      <c r="E198" s="14"/>
    </row>
    <row r="199" spans="1:5" x14ac:dyDescent="0.25">
      <c r="A199" s="14"/>
      <c r="B199" s="14"/>
      <c r="C199" s="14"/>
      <c r="D199" s="14"/>
      <c r="E199" s="14"/>
    </row>
    <row r="200" spans="1:5" x14ac:dyDescent="0.25">
      <c r="A200" s="14"/>
      <c r="B200" s="14"/>
      <c r="C200" s="14"/>
      <c r="D200" s="14"/>
      <c r="E200" s="14"/>
    </row>
    <row r="201" spans="1:5" x14ac:dyDescent="0.25">
      <c r="A201" s="14"/>
      <c r="B201" s="14"/>
      <c r="C201" s="14"/>
      <c r="D201" s="14"/>
      <c r="E201" s="14"/>
    </row>
    <row r="202" spans="1:5" x14ac:dyDescent="0.25">
      <c r="A202" s="14"/>
      <c r="B202" s="14"/>
      <c r="C202" s="14"/>
      <c r="D202" s="14"/>
      <c r="E202" s="14"/>
    </row>
    <row r="203" spans="1:5" x14ac:dyDescent="0.25">
      <c r="A203" s="14"/>
      <c r="B203" s="14"/>
      <c r="C203" s="14"/>
      <c r="D203" s="14"/>
      <c r="E203" s="14"/>
    </row>
    <row r="204" spans="1:5" x14ac:dyDescent="0.25">
      <c r="A204" s="14"/>
      <c r="B204" s="14"/>
      <c r="C204" s="14"/>
      <c r="D204" s="14"/>
      <c r="E204" s="14"/>
    </row>
    <row r="205" spans="1:5" x14ac:dyDescent="0.25">
      <c r="A205" s="14"/>
      <c r="B205" s="14"/>
      <c r="C205" s="14"/>
      <c r="D205" s="14"/>
      <c r="E205" s="14"/>
    </row>
    <row r="206" spans="1:5" x14ac:dyDescent="0.25">
      <c r="A206" s="14"/>
      <c r="B206" s="14"/>
      <c r="C206" s="14"/>
      <c r="D206" s="14"/>
      <c r="E206" s="14"/>
    </row>
    <row r="207" spans="1:5" x14ac:dyDescent="0.25">
      <c r="A207" s="14"/>
      <c r="B207" s="14"/>
      <c r="C207" s="14"/>
      <c r="D207" s="14"/>
      <c r="E207" s="14"/>
    </row>
    <row r="208" spans="1:5" x14ac:dyDescent="0.25">
      <c r="A208" s="14"/>
      <c r="B208" s="14"/>
      <c r="C208" s="14"/>
      <c r="D208" s="14"/>
      <c r="E208" s="14"/>
    </row>
    <row r="209" spans="1:5" x14ac:dyDescent="0.25">
      <c r="A209" s="14"/>
      <c r="B209" s="14"/>
      <c r="C209" s="14"/>
      <c r="D209" s="14"/>
      <c r="E209" s="14"/>
    </row>
    <row r="210" spans="1:5" x14ac:dyDescent="0.25">
      <c r="A210" s="14"/>
      <c r="B210" s="14"/>
      <c r="C210" s="14"/>
      <c r="D210" s="14"/>
      <c r="E210" s="14"/>
    </row>
    <row r="211" spans="1:5" x14ac:dyDescent="0.25">
      <c r="A211" s="14"/>
      <c r="B211" s="14"/>
      <c r="C211" s="14"/>
      <c r="D211" s="14"/>
      <c r="E211" s="14"/>
    </row>
    <row r="212" spans="1:5" x14ac:dyDescent="0.25">
      <c r="A212" s="14"/>
      <c r="B212" s="14"/>
      <c r="C212" s="14"/>
      <c r="D212" s="14"/>
      <c r="E212" s="14"/>
    </row>
    <row r="213" spans="1:5" x14ac:dyDescent="0.25">
      <c r="A213" s="14"/>
      <c r="B213" s="14"/>
      <c r="C213" s="14"/>
      <c r="D213" s="14"/>
      <c r="E213" s="14"/>
    </row>
    <row r="214" spans="1:5" x14ac:dyDescent="0.25">
      <c r="A214" s="14"/>
      <c r="B214" s="14"/>
      <c r="C214" s="14"/>
      <c r="D214" s="14"/>
      <c r="E214" s="14"/>
    </row>
    <row r="215" spans="1:5" x14ac:dyDescent="0.25">
      <c r="A215" s="14"/>
      <c r="B215" s="14"/>
      <c r="C215" s="14"/>
      <c r="D215" s="14"/>
      <c r="E215" s="14"/>
    </row>
    <row r="216" spans="1:5" x14ac:dyDescent="0.25">
      <c r="A216" s="14"/>
      <c r="B216" s="14"/>
      <c r="C216" s="14"/>
      <c r="D216" s="14"/>
      <c r="E216" s="14"/>
    </row>
    <row r="217" spans="1:5" x14ac:dyDescent="0.25">
      <c r="A217" s="14"/>
      <c r="B217" s="14"/>
      <c r="C217" s="14"/>
      <c r="D217" s="14"/>
      <c r="E217" s="14"/>
    </row>
    <row r="218" spans="1:5" x14ac:dyDescent="0.25">
      <c r="A218" s="14"/>
      <c r="B218" s="14"/>
      <c r="C218" s="14"/>
      <c r="D218" s="14"/>
      <c r="E218" s="14"/>
    </row>
    <row r="219" spans="1:5" x14ac:dyDescent="0.25">
      <c r="A219" s="14"/>
      <c r="B219" s="14"/>
      <c r="C219" s="14"/>
      <c r="D219" s="14"/>
      <c r="E219" s="14"/>
    </row>
    <row r="220" spans="1:5" x14ac:dyDescent="0.25">
      <c r="A220" s="14"/>
      <c r="B220" s="14"/>
      <c r="C220" s="14"/>
      <c r="D220" s="14"/>
      <c r="E220" s="14"/>
    </row>
    <row r="221" spans="1:5" x14ac:dyDescent="0.25">
      <c r="A221" s="14"/>
      <c r="B221" s="14"/>
      <c r="C221" s="14"/>
      <c r="D221" s="14"/>
      <c r="E221" s="14"/>
    </row>
    <row r="222" spans="1:5" x14ac:dyDescent="0.25">
      <c r="A222" s="14"/>
      <c r="B222" s="14"/>
      <c r="C222" s="14"/>
      <c r="D222" s="14"/>
      <c r="E222" s="14"/>
    </row>
    <row r="223" spans="1:5" x14ac:dyDescent="0.25">
      <c r="A223" s="14"/>
      <c r="B223" s="14"/>
      <c r="C223" s="14"/>
      <c r="D223" s="14"/>
      <c r="E223" s="14"/>
    </row>
    <row r="224" spans="1:5" x14ac:dyDescent="0.25">
      <c r="A224" s="14"/>
      <c r="B224" s="14"/>
      <c r="C224" s="14"/>
      <c r="D224" s="14"/>
      <c r="E224" s="14"/>
    </row>
    <row r="225" spans="1:5" x14ac:dyDescent="0.25">
      <c r="A225" s="14"/>
      <c r="B225" s="14"/>
      <c r="C225" s="14"/>
      <c r="D225" s="14"/>
      <c r="E225" s="14"/>
    </row>
    <row r="226" spans="1:5" x14ac:dyDescent="0.25">
      <c r="A226" s="14"/>
      <c r="B226" s="14"/>
      <c r="C226" s="14"/>
      <c r="D226" s="14"/>
      <c r="E226" s="14"/>
    </row>
    <row r="227" spans="1:5" x14ac:dyDescent="0.25">
      <c r="A227" s="14"/>
      <c r="B227" s="14"/>
      <c r="C227" s="14"/>
      <c r="D227" s="14"/>
      <c r="E227" s="14"/>
    </row>
    <row r="228" spans="1:5" x14ac:dyDescent="0.25">
      <c r="A228" s="14"/>
      <c r="B228" s="14"/>
      <c r="C228" s="14"/>
      <c r="D228" s="14"/>
      <c r="E228" s="14"/>
    </row>
    <row r="229" spans="1:5" x14ac:dyDescent="0.25">
      <c r="A229" s="14"/>
      <c r="B229" s="14"/>
      <c r="C229" s="14"/>
      <c r="D229" s="14"/>
      <c r="E229" s="14"/>
    </row>
    <row r="230" spans="1:5" x14ac:dyDescent="0.25">
      <c r="A230" s="14"/>
      <c r="B230" s="14"/>
      <c r="C230" s="14"/>
      <c r="D230" s="14"/>
      <c r="E230" s="14"/>
    </row>
    <row r="231" spans="1:5" x14ac:dyDescent="0.25">
      <c r="A231" s="14"/>
      <c r="B231" s="14"/>
      <c r="C231" s="14"/>
      <c r="D231" s="14"/>
      <c r="E231" s="14"/>
    </row>
    <row r="232" spans="1:5" x14ac:dyDescent="0.25">
      <c r="A232" s="14"/>
      <c r="B232" s="14"/>
      <c r="C232" s="14"/>
      <c r="D232" s="14"/>
      <c r="E232" s="14"/>
    </row>
    <row r="233" spans="1:5" x14ac:dyDescent="0.25">
      <c r="A233" s="14"/>
      <c r="B233" s="14"/>
      <c r="C233" s="14"/>
      <c r="D233" s="14"/>
      <c r="E233" s="14"/>
    </row>
    <row r="234" spans="1:5" x14ac:dyDescent="0.25">
      <c r="A234" s="14"/>
      <c r="B234" s="14"/>
      <c r="C234" s="14"/>
      <c r="D234" s="14"/>
      <c r="E234" s="14"/>
    </row>
    <row r="235" spans="1:5" x14ac:dyDescent="0.25">
      <c r="A235" s="14"/>
      <c r="B235" s="14"/>
      <c r="C235" s="14"/>
      <c r="D235" s="14"/>
      <c r="E235" s="14"/>
    </row>
    <row r="236" spans="1:5" x14ac:dyDescent="0.25">
      <c r="A236" s="14"/>
      <c r="B236" s="14"/>
      <c r="C236" s="14"/>
      <c r="D236" s="14"/>
      <c r="E236" s="14"/>
    </row>
    <row r="237" spans="1:5" x14ac:dyDescent="0.25">
      <c r="A237" s="14"/>
      <c r="B237" s="14"/>
      <c r="C237" s="14"/>
      <c r="D237" s="14"/>
      <c r="E237" s="14"/>
    </row>
    <row r="238" spans="1:5" x14ac:dyDescent="0.25">
      <c r="A238" s="14"/>
      <c r="B238" s="14"/>
      <c r="C238" s="14"/>
      <c r="D238" s="14"/>
      <c r="E238" s="14"/>
    </row>
    <row r="239" spans="1:5" x14ac:dyDescent="0.25">
      <c r="A239" s="14"/>
      <c r="B239" s="14"/>
      <c r="C239" s="14"/>
      <c r="D239" s="14"/>
      <c r="E239" s="14"/>
    </row>
    <row r="240" spans="1:5" x14ac:dyDescent="0.25">
      <c r="A240" s="14"/>
      <c r="B240" s="14"/>
      <c r="C240" s="14"/>
      <c r="D240" s="14"/>
      <c r="E240" s="14"/>
    </row>
    <row r="241" spans="1:5" x14ac:dyDescent="0.25">
      <c r="A241" s="14"/>
      <c r="B241" s="14"/>
      <c r="C241" s="14"/>
      <c r="D241" s="14"/>
      <c r="E241" s="14"/>
    </row>
    <row r="242" spans="1:5" x14ac:dyDescent="0.25">
      <c r="A242" s="14"/>
      <c r="B242" s="14"/>
      <c r="C242" s="14"/>
      <c r="D242" s="14"/>
      <c r="E242" s="14"/>
    </row>
    <row r="243" spans="1:5" x14ac:dyDescent="0.25">
      <c r="A243" s="14"/>
      <c r="B243" s="14"/>
      <c r="C243" s="14"/>
      <c r="D243" s="14"/>
      <c r="E243" s="14"/>
    </row>
    <row r="244" spans="1:5" x14ac:dyDescent="0.25">
      <c r="A244" s="14"/>
      <c r="B244" s="14"/>
      <c r="C244" s="14"/>
      <c r="D244" s="14"/>
      <c r="E244" s="14"/>
    </row>
    <row r="245" spans="1:5" x14ac:dyDescent="0.25">
      <c r="A245" s="14"/>
      <c r="B245" s="14"/>
      <c r="C245" s="14"/>
      <c r="D245" s="14"/>
      <c r="E245" s="14"/>
    </row>
    <row r="246" spans="1:5" x14ac:dyDescent="0.25">
      <c r="A246" s="14"/>
      <c r="B246" s="14"/>
      <c r="C246" s="14"/>
      <c r="D246" s="14"/>
      <c r="E246" s="14"/>
    </row>
    <row r="247" spans="1:5" x14ac:dyDescent="0.25">
      <c r="A247" s="14"/>
      <c r="B247" s="14"/>
      <c r="C247" s="14"/>
      <c r="D247" s="14"/>
      <c r="E247" s="14"/>
    </row>
    <row r="248" spans="1:5" x14ac:dyDescent="0.25">
      <c r="A248" s="14"/>
      <c r="B248" s="14"/>
      <c r="C248" s="14"/>
      <c r="D248" s="14"/>
      <c r="E248" s="14"/>
    </row>
    <row r="249" spans="1:5" x14ac:dyDescent="0.25">
      <c r="A249" s="14"/>
      <c r="B249" s="14"/>
      <c r="C249" s="14"/>
      <c r="D249" s="14"/>
      <c r="E249" s="14"/>
    </row>
    <row r="250" spans="1:5" x14ac:dyDescent="0.25">
      <c r="A250" s="14"/>
      <c r="B250" s="14"/>
      <c r="C250" s="14"/>
      <c r="D250" s="14"/>
      <c r="E250" s="14"/>
    </row>
    <row r="251" spans="1:5" x14ac:dyDescent="0.25">
      <c r="A251" s="14"/>
      <c r="B251" s="14"/>
      <c r="C251" s="14"/>
      <c r="D251" s="14"/>
      <c r="E251" s="14"/>
    </row>
    <row r="252" spans="1:5" x14ac:dyDescent="0.25">
      <c r="A252" s="14"/>
      <c r="B252" s="14"/>
      <c r="C252" s="14"/>
      <c r="D252" s="14"/>
      <c r="E252" s="14"/>
    </row>
    <row r="253" spans="1:5" x14ac:dyDescent="0.25">
      <c r="A253" s="14"/>
      <c r="B253" s="14"/>
      <c r="C253" s="14"/>
      <c r="D253" s="14"/>
      <c r="E253" s="14"/>
    </row>
    <row r="254" spans="1:5" x14ac:dyDescent="0.25">
      <c r="A254" s="14"/>
      <c r="B254" s="14"/>
      <c r="C254" s="14"/>
      <c r="D254" s="14"/>
      <c r="E254" s="14"/>
    </row>
    <row r="255" spans="1:5" x14ac:dyDescent="0.25">
      <c r="A255" s="14"/>
      <c r="B255" s="14"/>
      <c r="C255" s="14"/>
      <c r="D255" s="14"/>
      <c r="E255" s="14"/>
    </row>
    <row r="256" spans="1:5" x14ac:dyDescent="0.25">
      <c r="A256" s="14"/>
      <c r="B256" s="14"/>
      <c r="C256" s="14"/>
      <c r="D256" s="14"/>
      <c r="E256" s="14"/>
    </row>
    <row r="257" spans="1:5" x14ac:dyDescent="0.25">
      <c r="A257" s="14"/>
      <c r="B257" s="14"/>
      <c r="C257" s="14"/>
      <c r="D257" s="14"/>
      <c r="E257" s="14"/>
    </row>
    <row r="258" spans="1:5" x14ac:dyDescent="0.25">
      <c r="A258" s="14"/>
      <c r="B258" s="14"/>
      <c r="C258" s="14"/>
      <c r="D258" s="14"/>
      <c r="E258" s="14"/>
    </row>
    <row r="259" spans="1:5" x14ac:dyDescent="0.25">
      <c r="A259" s="14"/>
      <c r="B259" s="14"/>
      <c r="C259" s="14"/>
      <c r="D259" s="14"/>
      <c r="E259" s="14"/>
    </row>
    <row r="260" spans="1:5" x14ac:dyDescent="0.25">
      <c r="A260" s="14"/>
      <c r="B260" s="14"/>
      <c r="C260" s="14"/>
      <c r="D260" s="14"/>
      <c r="E260" s="14"/>
    </row>
    <row r="261" spans="1:5" x14ac:dyDescent="0.25">
      <c r="A261" s="14"/>
      <c r="B261" s="14"/>
      <c r="C261" s="14"/>
      <c r="D261" s="14"/>
      <c r="E261" s="14"/>
    </row>
    <row r="262" spans="1:5" x14ac:dyDescent="0.25">
      <c r="A262" s="14"/>
      <c r="B262" s="14"/>
      <c r="C262" s="14"/>
      <c r="D262" s="14"/>
      <c r="E262" s="14"/>
    </row>
    <row r="263" spans="1:5" x14ac:dyDescent="0.25">
      <c r="A263" s="14"/>
      <c r="B263" s="14"/>
      <c r="C263" s="14"/>
      <c r="D263" s="14"/>
      <c r="E263" s="14"/>
    </row>
    <row r="264" spans="1:5" x14ac:dyDescent="0.25">
      <c r="A264" s="14"/>
      <c r="B264" s="14"/>
      <c r="C264" s="14"/>
      <c r="D264" s="14"/>
      <c r="E264" s="14"/>
    </row>
    <row r="265" spans="1:5" x14ac:dyDescent="0.25">
      <c r="A265" s="14"/>
      <c r="B265" s="14"/>
      <c r="C265" s="14"/>
      <c r="D265" s="14"/>
      <c r="E265" s="14"/>
    </row>
    <row r="266" spans="1:5" x14ac:dyDescent="0.25">
      <c r="A266" s="14"/>
      <c r="B266" s="14"/>
      <c r="C266" s="14"/>
      <c r="D266" s="14"/>
      <c r="E266" s="14"/>
    </row>
    <row r="267" spans="1:5" x14ac:dyDescent="0.25">
      <c r="A267" s="14"/>
      <c r="B267" s="14"/>
      <c r="C267" s="14"/>
      <c r="D267" s="14"/>
      <c r="E267" s="14"/>
    </row>
    <row r="268" spans="1:5" x14ac:dyDescent="0.25">
      <c r="A268" s="14"/>
      <c r="B268" s="14"/>
      <c r="C268" s="14"/>
      <c r="D268" s="14"/>
      <c r="E268" s="14"/>
    </row>
    <row r="269" spans="1:5" x14ac:dyDescent="0.25">
      <c r="A269" s="14"/>
      <c r="B269" s="14"/>
      <c r="C269" s="14"/>
      <c r="D269" s="14"/>
      <c r="E269" s="14"/>
    </row>
    <row r="270" spans="1:5" x14ac:dyDescent="0.25">
      <c r="A270" s="14"/>
      <c r="B270" s="14"/>
      <c r="C270" s="14"/>
      <c r="D270" s="14"/>
      <c r="E270" s="14"/>
    </row>
    <row r="271" spans="1:5" x14ac:dyDescent="0.25">
      <c r="A271" s="14"/>
      <c r="B271" s="14"/>
      <c r="C271" s="14"/>
      <c r="D271" s="14"/>
      <c r="E271" s="14"/>
    </row>
    <row r="272" spans="1:5" x14ac:dyDescent="0.25">
      <c r="A272" s="14"/>
      <c r="B272" s="14"/>
      <c r="C272" s="14"/>
      <c r="D272" s="14"/>
      <c r="E272" s="14"/>
    </row>
    <row r="273" spans="1:5" x14ac:dyDescent="0.25">
      <c r="A273" s="14"/>
      <c r="B273" s="14"/>
      <c r="C273" s="14"/>
      <c r="D273" s="14"/>
      <c r="E273" s="14"/>
    </row>
    <row r="274" spans="1:5" x14ac:dyDescent="0.25">
      <c r="A274" s="14"/>
      <c r="B274" s="14"/>
      <c r="C274" s="14"/>
      <c r="D274" s="14"/>
      <c r="E274" s="14"/>
    </row>
    <row r="275" spans="1:5" x14ac:dyDescent="0.25">
      <c r="A275" s="14"/>
      <c r="B275" s="14"/>
      <c r="C275" s="14"/>
      <c r="D275" s="14"/>
      <c r="E275" s="14"/>
    </row>
    <row r="276" spans="1:5" x14ac:dyDescent="0.25">
      <c r="A276" s="14"/>
      <c r="B276" s="14"/>
      <c r="C276" s="14"/>
      <c r="D276" s="14"/>
      <c r="E276" s="14"/>
    </row>
    <row r="277" spans="1:5" x14ac:dyDescent="0.25">
      <c r="A277" s="14"/>
      <c r="B277" s="14"/>
      <c r="C277" s="14"/>
      <c r="D277" s="14"/>
      <c r="E277" s="14"/>
    </row>
    <row r="278" spans="1:5" x14ac:dyDescent="0.25">
      <c r="A278" s="14"/>
      <c r="B278" s="14"/>
      <c r="C278" s="14"/>
      <c r="D278" s="14"/>
      <c r="E278" s="14"/>
    </row>
    <row r="279" spans="1:5" x14ac:dyDescent="0.25">
      <c r="A279" s="14"/>
      <c r="B279" s="14"/>
      <c r="C279" s="14"/>
      <c r="D279" s="14"/>
      <c r="E279" s="14"/>
    </row>
    <row r="280" spans="1:5" x14ac:dyDescent="0.25">
      <c r="A280" s="14"/>
      <c r="B280" s="14"/>
      <c r="C280" s="14"/>
      <c r="D280" s="14"/>
      <c r="E280" s="14"/>
    </row>
    <row r="281" spans="1:5" x14ac:dyDescent="0.25">
      <c r="A281" s="14"/>
      <c r="B281" s="14"/>
      <c r="C281" s="14"/>
      <c r="D281" s="14"/>
      <c r="E281" s="14"/>
    </row>
    <row r="282" spans="1:5" x14ac:dyDescent="0.25">
      <c r="A282" s="14"/>
      <c r="B282" s="14"/>
      <c r="C282" s="14"/>
      <c r="D282" s="14"/>
      <c r="E282" s="14"/>
    </row>
    <row r="283" spans="1:5" x14ac:dyDescent="0.25">
      <c r="A283" s="14"/>
      <c r="B283" s="14"/>
      <c r="C283" s="14"/>
      <c r="D283" s="14"/>
      <c r="E283" s="14"/>
    </row>
    <row r="284" spans="1:5" x14ac:dyDescent="0.25">
      <c r="A284" s="14"/>
      <c r="B284" s="14"/>
      <c r="C284" s="14"/>
      <c r="D284" s="14"/>
      <c r="E284" s="14"/>
    </row>
    <row r="285" spans="1:5" x14ac:dyDescent="0.25">
      <c r="A285" s="14"/>
      <c r="B285" s="14"/>
      <c r="C285" s="14"/>
      <c r="D285" s="14"/>
      <c r="E285" s="14"/>
    </row>
    <row r="286" spans="1:5" x14ac:dyDescent="0.25">
      <c r="A286" s="14"/>
      <c r="B286" s="14"/>
      <c r="C286" s="14"/>
      <c r="D286" s="14"/>
      <c r="E286" s="14"/>
    </row>
    <row r="287" spans="1:5" x14ac:dyDescent="0.25">
      <c r="A287" s="14"/>
      <c r="B287" s="14"/>
      <c r="C287" s="14"/>
      <c r="D287" s="14"/>
      <c r="E287" s="14"/>
    </row>
    <row r="288" spans="1:5" x14ac:dyDescent="0.25">
      <c r="A288" s="14"/>
      <c r="B288" s="14"/>
      <c r="C288" s="14"/>
      <c r="D288" s="14"/>
      <c r="E288" s="14"/>
    </row>
    <row r="289" spans="1:5" x14ac:dyDescent="0.25">
      <c r="A289" s="14"/>
      <c r="B289" s="14"/>
      <c r="C289" s="14"/>
      <c r="D289" s="14"/>
      <c r="E289" s="14"/>
    </row>
    <row r="290" spans="1:5" x14ac:dyDescent="0.25">
      <c r="A290" s="14"/>
      <c r="B290" s="14"/>
      <c r="C290" s="14"/>
      <c r="D290" s="14"/>
      <c r="E290" s="14"/>
    </row>
    <row r="291" spans="1:5" x14ac:dyDescent="0.25">
      <c r="A291" s="14"/>
      <c r="B291" s="14"/>
      <c r="C291" s="14"/>
      <c r="D291" s="14"/>
      <c r="E291" s="14"/>
    </row>
    <row r="292" spans="1:5" x14ac:dyDescent="0.25">
      <c r="A292" s="14"/>
      <c r="B292" s="14"/>
      <c r="C292" s="14"/>
      <c r="D292" s="14"/>
      <c r="E292" s="14"/>
    </row>
    <row r="293" spans="1:5" x14ac:dyDescent="0.25">
      <c r="A293" s="14"/>
      <c r="B293" s="14"/>
      <c r="C293" s="14"/>
      <c r="D293" s="14"/>
      <c r="E293" s="14"/>
    </row>
    <row r="294" spans="1:5" x14ac:dyDescent="0.25">
      <c r="A294" s="14"/>
      <c r="B294" s="14"/>
      <c r="C294" s="14"/>
      <c r="D294" s="14"/>
      <c r="E294" s="14"/>
    </row>
    <row r="295" spans="1:5" x14ac:dyDescent="0.25">
      <c r="A295" s="14"/>
      <c r="B295" s="14"/>
      <c r="C295" s="14"/>
      <c r="D295" s="14"/>
      <c r="E295" s="14"/>
    </row>
    <row r="296" spans="1:5" x14ac:dyDescent="0.25">
      <c r="A296" s="14"/>
      <c r="B296" s="14"/>
      <c r="C296" s="14"/>
      <c r="D296" s="14"/>
      <c r="E296" s="14"/>
    </row>
    <row r="297" spans="1:5" x14ac:dyDescent="0.25">
      <c r="A297" s="14"/>
      <c r="B297" s="14"/>
      <c r="C297" s="14"/>
      <c r="D297" s="14"/>
      <c r="E297" s="14"/>
    </row>
    <row r="298" spans="1:5" x14ac:dyDescent="0.25">
      <c r="A298" s="14"/>
      <c r="B298" s="14"/>
      <c r="C298" s="14"/>
      <c r="D298" s="14"/>
      <c r="E298" s="14"/>
    </row>
    <row r="299" spans="1:5" x14ac:dyDescent="0.25">
      <c r="A299" s="14"/>
      <c r="B299" s="14"/>
      <c r="C299" s="14"/>
      <c r="D299" s="14"/>
      <c r="E299" s="14"/>
    </row>
    <row r="300" spans="1:5" x14ac:dyDescent="0.25">
      <c r="A300" s="14"/>
      <c r="B300" s="14"/>
      <c r="C300" s="14"/>
      <c r="D300" s="14"/>
      <c r="E300" s="14"/>
    </row>
    <row r="301" spans="1:5" x14ac:dyDescent="0.25">
      <c r="A301" s="14"/>
      <c r="B301" s="14"/>
      <c r="C301" s="14"/>
      <c r="D301" s="14"/>
      <c r="E301" s="14"/>
    </row>
    <row r="302" spans="1:5" x14ac:dyDescent="0.25">
      <c r="A302" s="14"/>
      <c r="B302" s="14"/>
      <c r="C302" s="14"/>
      <c r="D302" s="14"/>
      <c r="E302" s="14"/>
    </row>
    <row r="303" spans="1:5" x14ac:dyDescent="0.25">
      <c r="A303" s="14"/>
      <c r="B303" s="14"/>
      <c r="C303" s="14"/>
      <c r="D303" s="14"/>
      <c r="E303" s="14"/>
    </row>
    <row r="304" spans="1:5" x14ac:dyDescent="0.25">
      <c r="A304" s="14"/>
      <c r="B304" s="14"/>
      <c r="C304" s="14"/>
      <c r="D304" s="14"/>
      <c r="E304" s="14"/>
    </row>
    <row r="305" spans="1:5" x14ac:dyDescent="0.25">
      <c r="A305" s="14"/>
      <c r="B305" s="14"/>
      <c r="C305" s="14"/>
      <c r="D305" s="14"/>
      <c r="E305" s="14"/>
    </row>
    <row r="306" spans="1:5" x14ac:dyDescent="0.25">
      <c r="A306" s="14"/>
      <c r="B306" s="14"/>
      <c r="C306" s="14"/>
      <c r="D306" s="14"/>
      <c r="E306" s="14"/>
    </row>
    <row r="307" spans="1:5" x14ac:dyDescent="0.25">
      <c r="A307" s="14"/>
      <c r="B307" s="14"/>
      <c r="C307" s="14"/>
      <c r="D307" s="14"/>
      <c r="E307" s="14"/>
    </row>
    <row r="308" spans="1:5" x14ac:dyDescent="0.25">
      <c r="A308" s="14"/>
      <c r="B308" s="14"/>
      <c r="C308" s="14"/>
      <c r="D308" s="14"/>
      <c r="E308" s="14"/>
    </row>
    <row r="309" spans="1:5" x14ac:dyDescent="0.25">
      <c r="A309" s="14"/>
      <c r="B309" s="14"/>
      <c r="C309" s="14"/>
      <c r="D309" s="14"/>
      <c r="E309" s="14"/>
    </row>
    <row r="310" spans="1:5" x14ac:dyDescent="0.25">
      <c r="A310" s="14"/>
      <c r="B310" s="14"/>
      <c r="C310" s="14"/>
      <c r="D310" s="14"/>
      <c r="E310" s="14"/>
    </row>
    <row r="311" spans="1:5" x14ac:dyDescent="0.25">
      <c r="A311" s="14"/>
      <c r="B311" s="14"/>
      <c r="C311" s="14"/>
      <c r="D311" s="14"/>
      <c r="E311" s="14"/>
    </row>
    <row r="312" spans="1:5" x14ac:dyDescent="0.25">
      <c r="A312" s="14"/>
      <c r="B312" s="14"/>
      <c r="C312" s="14"/>
      <c r="D312" s="14"/>
      <c r="E312" s="14"/>
    </row>
    <row r="313" spans="1:5" x14ac:dyDescent="0.25">
      <c r="A313" s="14"/>
      <c r="B313" s="14"/>
      <c r="C313" s="14"/>
      <c r="D313" s="14"/>
      <c r="E313" s="14"/>
    </row>
    <row r="314" spans="1:5" x14ac:dyDescent="0.25">
      <c r="A314" s="14"/>
      <c r="B314" s="14"/>
      <c r="C314" s="14"/>
      <c r="D314" s="14"/>
      <c r="E314" s="14"/>
    </row>
    <row r="315" spans="1:5" x14ac:dyDescent="0.25">
      <c r="A315" s="14"/>
      <c r="B315" s="14"/>
      <c r="C315" s="14"/>
      <c r="D315" s="14"/>
      <c r="E315" s="14"/>
    </row>
    <row r="316" spans="1:5" x14ac:dyDescent="0.25">
      <c r="A316" s="14"/>
      <c r="B316" s="14"/>
      <c r="C316" s="14"/>
      <c r="D316" s="14"/>
      <c r="E316" s="14"/>
    </row>
    <row r="317" spans="1:5" x14ac:dyDescent="0.25">
      <c r="A317" s="14"/>
      <c r="B317" s="14"/>
      <c r="C317" s="14"/>
      <c r="D317" s="14"/>
      <c r="E317" s="14"/>
    </row>
    <row r="318" spans="1:5" x14ac:dyDescent="0.25">
      <c r="A318" s="14"/>
      <c r="B318" s="14"/>
      <c r="C318" s="14"/>
      <c r="D318" s="14"/>
      <c r="E318" s="14"/>
    </row>
    <row r="319" spans="1:5" x14ac:dyDescent="0.25">
      <c r="A319" s="14"/>
      <c r="B319" s="14"/>
      <c r="C319" s="14"/>
      <c r="D319" s="14"/>
      <c r="E319" s="14"/>
    </row>
    <row r="320" spans="1:5" x14ac:dyDescent="0.25">
      <c r="A320" s="14"/>
      <c r="B320" s="14"/>
      <c r="C320" s="14"/>
      <c r="D320" s="14"/>
      <c r="E320" s="14"/>
    </row>
    <row r="321" spans="1:5" x14ac:dyDescent="0.25">
      <c r="A321" s="14"/>
      <c r="B321" s="14"/>
      <c r="C321" s="14"/>
      <c r="D321" s="14"/>
      <c r="E321" s="14"/>
    </row>
    <row r="322" spans="1:5" x14ac:dyDescent="0.25">
      <c r="A322" s="14"/>
      <c r="B322" s="14"/>
      <c r="C322" s="14"/>
      <c r="D322" s="14"/>
      <c r="E322" s="14"/>
    </row>
    <row r="323" spans="1:5" x14ac:dyDescent="0.25">
      <c r="A323" s="14"/>
      <c r="B323" s="14"/>
      <c r="C323" s="14"/>
      <c r="D323" s="14"/>
      <c r="E323" s="14"/>
    </row>
    <row r="324" spans="1:5" x14ac:dyDescent="0.25">
      <c r="A324" s="14"/>
      <c r="B324" s="14"/>
      <c r="C324" s="14"/>
      <c r="D324" s="14"/>
      <c r="E324" s="14"/>
    </row>
    <row r="325" spans="1:5" x14ac:dyDescent="0.25">
      <c r="A325" s="14"/>
      <c r="B325" s="14"/>
      <c r="C325" s="14"/>
      <c r="D325" s="14"/>
      <c r="E325" s="14"/>
    </row>
    <row r="326" spans="1:5" x14ac:dyDescent="0.25">
      <c r="A326" s="14"/>
      <c r="B326" s="14"/>
      <c r="C326" s="14"/>
      <c r="D326" s="14"/>
      <c r="E326" s="14"/>
    </row>
    <row r="327" spans="1:5" x14ac:dyDescent="0.25">
      <c r="A327" s="14"/>
      <c r="B327" s="14"/>
      <c r="C327" s="14"/>
      <c r="D327" s="14"/>
      <c r="E327" s="14"/>
    </row>
    <row r="328" spans="1:5" x14ac:dyDescent="0.25">
      <c r="A328" s="14"/>
      <c r="B328" s="14"/>
      <c r="C328" s="14"/>
      <c r="D328" s="14"/>
      <c r="E328" s="14"/>
    </row>
    <row r="329" spans="1:5" x14ac:dyDescent="0.25">
      <c r="A329" s="14"/>
      <c r="B329" s="14"/>
      <c r="C329" s="14"/>
      <c r="D329" s="14"/>
      <c r="E329" s="14"/>
    </row>
    <row r="330" spans="1:5" x14ac:dyDescent="0.25">
      <c r="A330" s="14"/>
      <c r="B330" s="14"/>
      <c r="C330" s="14"/>
      <c r="D330" s="14"/>
      <c r="E330" s="14"/>
    </row>
    <row r="331" spans="1:5" x14ac:dyDescent="0.25">
      <c r="A331" s="14"/>
      <c r="B331" s="14"/>
      <c r="C331" s="14"/>
      <c r="D331" s="14"/>
      <c r="E331" s="14"/>
    </row>
    <row r="332" spans="1:5" x14ac:dyDescent="0.25">
      <c r="A332" s="14"/>
      <c r="B332" s="14"/>
      <c r="C332" s="14"/>
      <c r="D332" s="14"/>
      <c r="E332" s="14"/>
    </row>
    <row r="333" spans="1:5" x14ac:dyDescent="0.25">
      <c r="A333" s="14"/>
      <c r="B333" s="14"/>
      <c r="C333" s="14"/>
      <c r="D333" s="14"/>
      <c r="E333" s="14"/>
    </row>
    <row r="334" spans="1:5" x14ac:dyDescent="0.25">
      <c r="A334" s="14"/>
      <c r="B334" s="14"/>
      <c r="C334" s="14"/>
      <c r="D334" s="14"/>
      <c r="E334" s="14"/>
    </row>
    <row r="335" spans="1:5" x14ac:dyDescent="0.25">
      <c r="A335" s="14"/>
      <c r="B335" s="14"/>
      <c r="C335" s="14"/>
      <c r="D335" s="14"/>
      <c r="E335" s="14"/>
    </row>
    <row r="336" spans="1:5" x14ac:dyDescent="0.25">
      <c r="A336" s="14"/>
      <c r="B336" s="14"/>
      <c r="C336" s="14"/>
      <c r="D336" s="14"/>
      <c r="E336" s="14"/>
    </row>
    <row r="337" spans="1:5" x14ac:dyDescent="0.25">
      <c r="A337" s="14"/>
      <c r="B337" s="14"/>
      <c r="C337" s="14"/>
      <c r="D337" s="14"/>
      <c r="E337" s="14"/>
    </row>
    <row r="338" spans="1:5" x14ac:dyDescent="0.25">
      <c r="A338" s="14"/>
      <c r="B338" s="14"/>
      <c r="C338" s="14"/>
      <c r="D338" s="14"/>
      <c r="E338" s="14"/>
    </row>
    <row r="339" spans="1:5" x14ac:dyDescent="0.25">
      <c r="A339" s="14"/>
      <c r="B339" s="14"/>
      <c r="C339" s="14"/>
      <c r="D339" s="14"/>
      <c r="E339" s="14"/>
    </row>
    <row r="340" spans="1:5" x14ac:dyDescent="0.25">
      <c r="A340" s="14"/>
      <c r="B340" s="14"/>
      <c r="C340" s="14"/>
      <c r="D340" s="14"/>
      <c r="E340" s="14"/>
    </row>
    <row r="341" spans="1:5" x14ac:dyDescent="0.25">
      <c r="A341" s="14"/>
      <c r="B341" s="14"/>
      <c r="C341" s="14"/>
      <c r="D341" s="14"/>
      <c r="E341" s="14"/>
    </row>
    <row r="342" spans="1:5" x14ac:dyDescent="0.25">
      <c r="A342" s="14"/>
      <c r="B342" s="14"/>
      <c r="C342" s="14"/>
      <c r="D342" s="14"/>
      <c r="E342" s="14"/>
    </row>
    <row r="343" spans="1:5" x14ac:dyDescent="0.25">
      <c r="A343" s="14"/>
      <c r="B343" s="14"/>
      <c r="C343" s="14"/>
      <c r="D343" s="14"/>
      <c r="E343" s="14"/>
    </row>
    <row r="344" spans="1:5" x14ac:dyDescent="0.25">
      <c r="A344" s="14"/>
      <c r="B344" s="14"/>
      <c r="C344" s="14"/>
      <c r="D344" s="14"/>
      <c r="E344" s="14"/>
    </row>
    <row r="345" spans="1:5" x14ac:dyDescent="0.25">
      <c r="A345" s="14"/>
      <c r="B345" s="14"/>
      <c r="C345" s="14"/>
      <c r="D345" s="14"/>
      <c r="E345" s="14"/>
    </row>
    <row r="346" spans="1:5" x14ac:dyDescent="0.25">
      <c r="A346" s="14"/>
      <c r="B346" s="14"/>
      <c r="C346" s="14"/>
      <c r="D346" s="14"/>
      <c r="E346" s="14"/>
    </row>
    <row r="347" spans="1:5" x14ac:dyDescent="0.25">
      <c r="A347" s="14"/>
      <c r="B347" s="14"/>
      <c r="C347" s="14"/>
      <c r="D347" s="14"/>
      <c r="E347" s="14"/>
    </row>
    <row r="348" spans="1:5" x14ac:dyDescent="0.25">
      <c r="A348" s="14"/>
      <c r="B348" s="14"/>
      <c r="C348" s="14"/>
      <c r="D348" s="14"/>
      <c r="E348" s="14"/>
    </row>
    <row r="349" spans="1:5" x14ac:dyDescent="0.25">
      <c r="A349" s="14"/>
      <c r="B349" s="14"/>
      <c r="C349" s="14"/>
      <c r="D349" s="14"/>
      <c r="E349" s="14"/>
    </row>
    <row r="350" spans="1:5" x14ac:dyDescent="0.25">
      <c r="A350" s="14"/>
      <c r="B350" s="14"/>
      <c r="C350" s="14"/>
      <c r="D350" s="14"/>
      <c r="E350" s="14"/>
    </row>
    <row r="351" spans="1:5" x14ac:dyDescent="0.25">
      <c r="A351" s="14"/>
      <c r="B351" s="14"/>
      <c r="C351" s="14"/>
      <c r="D351" s="14"/>
      <c r="E351" s="14"/>
    </row>
    <row r="352" spans="1:5" x14ac:dyDescent="0.25">
      <c r="A352" s="14"/>
      <c r="B352" s="14"/>
      <c r="C352" s="14"/>
      <c r="D352" s="14"/>
      <c r="E352" s="14"/>
    </row>
    <row r="353" spans="1:5" x14ac:dyDescent="0.25">
      <c r="A353" s="14"/>
      <c r="B353" s="14"/>
      <c r="C353" s="14"/>
      <c r="D353" s="14"/>
      <c r="E353" s="14"/>
    </row>
    <row r="354" spans="1:5" x14ac:dyDescent="0.25">
      <c r="A354" s="14"/>
      <c r="B354" s="14"/>
      <c r="C354" s="14"/>
      <c r="D354" s="14"/>
      <c r="E354" s="14"/>
    </row>
    <row r="355" spans="1:5" x14ac:dyDescent="0.25">
      <c r="A355" s="14"/>
      <c r="B355" s="14"/>
      <c r="C355" s="14"/>
      <c r="D355" s="14"/>
      <c r="E355" s="14"/>
    </row>
    <row r="356" spans="1:5" x14ac:dyDescent="0.25">
      <c r="A356" s="14"/>
      <c r="B356" s="14"/>
      <c r="C356" s="14"/>
      <c r="D356" s="14"/>
      <c r="E356" s="14"/>
    </row>
    <row r="357" spans="1:5" x14ac:dyDescent="0.25">
      <c r="A357" s="14"/>
      <c r="B357" s="14"/>
      <c r="C357" s="14"/>
      <c r="D357" s="14"/>
      <c r="E357" s="14"/>
    </row>
    <row r="358" spans="1:5" x14ac:dyDescent="0.25">
      <c r="A358" s="14"/>
      <c r="B358" s="14"/>
      <c r="C358" s="14"/>
      <c r="D358" s="14"/>
      <c r="E358" s="14"/>
    </row>
    <row r="359" spans="1:5" x14ac:dyDescent="0.25">
      <c r="A359" s="14"/>
      <c r="B359" s="14"/>
      <c r="C359" s="14"/>
      <c r="D359" s="14"/>
      <c r="E359" s="14"/>
    </row>
    <row r="360" spans="1:5" x14ac:dyDescent="0.25">
      <c r="A360" s="14"/>
      <c r="B360" s="14"/>
      <c r="C360" s="14"/>
      <c r="D360" s="14"/>
      <c r="E360" s="14"/>
    </row>
    <row r="361" spans="1:5" x14ac:dyDescent="0.25">
      <c r="A361" s="14"/>
      <c r="B361" s="14"/>
      <c r="C361" s="14"/>
      <c r="D361" s="14"/>
      <c r="E361" s="14"/>
    </row>
    <row r="362" spans="1:5" x14ac:dyDescent="0.25">
      <c r="A362" s="14"/>
      <c r="B362" s="14"/>
      <c r="C362" s="14"/>
      <c r="D362" s="14"/>
      <c r="E362" s="14"/>
    </row>
    <row r="363" spans="1:5" x14ac:dyDescent="0.25">
      <c r="A363" s="14"/>
      <c r="B363" s="14"/>
      <c r="C363" s="14"/>
      <c r="D363" s="14"/>
      <c r="E363" s="14"/>
    </row>
    <row r="364" spans="1:5" x14ac:dyDescent="0.25">
      <c r="A364" s="14"/>
      <c r="B364" s="14"/>
      <c r="C364" s="14"/>
      <c r="D364" s="14"/>
      <c r="E364" s="14"/>
    </row>
    <row r="365" spans="1:5" x14ac:dyDescent="0.25">
      <c r="A365" s="14"/>
      <c r="B365" s="14"/>
      <c r="C365" s="14"/>
      <c r="D365" s="14"/>
      <c r="E365" s="14"/>
    </row>
    <row r="366" spans="1:5" x14ac:dyDescent="0.25">
      <c r="A366" s="14"/>
      <c r="B366" s="14"/>
      <c r="C366" s="14"/>
      <c r="D366" s="14"/>
      <c r="E366" s="14"/>
    </row>
    <row r="367" spans="1:5" x14ac:dyDescent="0.25">
      <c r="A367" s="14"/>
      <c r="B367" s="14"/>
      <c r="C367" s="14"/>
      <c r="D367" s="14"/>
      <c r="E367" s="14"/>
    </row>
    <row r="368" spans="1:5" x14ac:dyDescent="0.25">
      <c r="A368" s="14"/>
      <c r="B368" s="14"/>
      <c r="C368" s="14"/>
      <c r="D368" s="14"/>
      <c r="E368" s="14"/>
    </row>
    <row r="369" spans="1:5" x14ac:dyDescent="0.25">
      <c r="A369" s="14"/>
      <c r="B369" s="14"/>
      <c r="C369" s="14"/>
      <c r="D369" s="14"/>
      <c r="E369" s="14"/>
    </row>
    <row r="370" spans="1:5" x14ac:dyDescent="0.25">
      <c r="A370" s="14"/>
      <c r="B370" s="14"/>
      <c r="C370" s="14"/>
      <c r="D370" s="14"/>
      <c r="E370" s="14"/>
    </row>
    <row r="371" spans="1:5" x14ac:dyDescent="0.25">
      <c r="A371" s="14"/>
      <c r="B371" s="14"/>
      <c r="C371" s="14"/>
      <c r="D371" s="14"/>
      <c r="E371" s="14"/>
    </row>
    <row r="372" spans="1:5" x14ac:dyDescent="0.25">
      <c r="A372" s="14"/>
      <c r="B372" s="14"/>
      <c r="C372" s="14"/>
      <c r="D372" s="14"/>
      <c r="E372" s="14"/>
    </row>
    <row r="373" spans="1:5" x14ac:dyDescent="0.25">
      <c r="A373" s="14"/>
      <c r="B373" s="14"/>
      <c r="C373" s="14"/>
      <c r="D373" s="14"/>
      <c r="E373" s="14"/>
    </row>
    <row r="374" spans="1:5" x14ac:dyDescent="0.25">
      <c r="A374" s="14"/>
      <c r="B374" s="14"/>
      <c r="C374" s="14"/>
      <c r="D374" s="14"/>
      <c r="E374" s="14"/>
    </row>
    <row r="375" spans="1:5" x14ac:dyDescent="0.25">
      <c r="A375" s="14"/>
      <c r="B375" s="14"/>
      <c r="C375" s="14"/>
      <c r="D375" s="14"/>
      <c r="E375" s="14"/>
    </row>
    <row r="376" spans="1:5" x14ac:dyDescent="0.25">
      <c r="A376" s="14"/>
      <c r="B376" s="14"/>
      <c r="C376" s="14"/>
      <c r="D376" s="14"/>
      <c r="E376" s="14"/>
    </row>
    <row r="377" spans="1:5" x14ac:dyDescent="0.25">
      <c r="A377" s="14"/>
      <c r="B377" s="14"/>
      <c r="C377" s="14"/>
      <c r="D377" s="14"/>
      <c r="E377" s="14"/>
    </row>
    <row r="378" spans="1:5" x14ac:dyDescent="0.25">
      <c r="A378" s="14"/>
      <c r="B378" s="14"/>
      <c r="C378" s="14"/>
      <c r="D378" s="14"/>
      <c r="E378" s="14"/>
    </row>
    <row r="379" spans="1:5" x14ac:dyDescent="0.25">
      <c r="A379" s="14"/>
      <c r="B379" s="14"/>
      <c r="C379" s="14"/>
      <c r="D379" s="14"/>
      <c r="E379" s="14"/>
    </row>
    <row r="380" spans="1:5" x14ac:dyDescent="0.25">
      <c r="A380" s="14"/>
      <c r="B380" s="14"/>
      <c r="C380" s="14"/>
      <c r="D380" s="14"/>
      <c r="E380" s="14"/>
    </row>
    <row r="381" spans="1:5" x14ac:dyDescent="0.25">
      <c r="A381" s="14"/>
      <c r="B381" s="14"/>
      <c r="C381" s="14"/>
      <c r="D381" s="14"/>
      <c r="E381" s="14"/>
    </row>
    <row r="382" spans="1:5" x14ac:dyDescent="0.25">
      <c r="A382" s="14"/>
      <c r="B382" s="14"/>
      <c r="C382" s="14"/>
      <c r="D382" s="14"/>
      <c r="E382" s="14"/>
    </row>
    <row r="383" spans="1:5" x14ac:dyDescent="0.25">
      <c r="A383" s="14"/>
      <c r="B383" s="14"/>
      <c r="C383" s="14"/>
      <c r="D383" s="14"/>
      <c r="E383" s="14"/>
    </row>
    <row r="384" spans="1:5" x14ac:dyDescent="0.25">
      <c r="A384" s="14"/>
      <c r="B384" s="14"/>
      <c r="C384" s="14"/>
      <c r="D384" s="14"/>
      <c r="E384" s="14"/>
    </row>
    <row r="385" spans="1:5" x14ac:dyDescent="0.25">
      <c r="A385" s="14"/>
      <c r="B385" s="14"/>
      <c r="C385" s="14"/>
      <c r="D385" s="14"/>
      <c r="E385" s="14"/>
    </row>
    <row r="386" spans="1:5" x14ac:dyDescent="0.25">
      <c r="A386" s="14"/>
      <c r="B386" s="14"/>
      <c r="C386" s="14"/>
      <c r="D386" s="14"/>
      <c r="E386" s="14"/>
    </row>
    <row r="387" spans="1:5" x14ac:dyDescent="0.25">
      <c r="A387" s="14"/>
      <c r="B387" s="14"/>
      <c r="C387" s="14"/>
      <c r="D387" s="14"/>
      <c r="E387" s="14"/>
    </row>
    <row r="388" spans="1:5" x14ac:dyDescent="0.25">
      <c r="A388" s="14"/>
      <c r="B388" s="14"/>
      <c r="C388" s="14"/>
      <c r="D388" s="14"/>
      <c r="E388" s="14"/>
    </row>
    <row r="389" spans="1:5" x14ac:dyDescent="0.25">
      <c r="A389" s="14"/>
      <c r="B389" s="14"/>
      <c r="C389" s="14"/>
      <c r="D389" s="14"/>
      <c r="E389" s="14"/>
    </row>
    <row r="390" spans="1:5" x14ac:dyDescent="0.25">
      <c r="A390" s="14"/>
      <c r="B390" s="14"/>
      <c r="C390" s="14"/>
      <c r="D390" s="14"/>
      <c r="E390" s="14"/>
    </row>
    <row r="391" spans="1:5" x14ac:dyDescent="0.25">
      <c r="A391" s="14"/>
      <c r="B391" s="14"/>
      <c r="C391" s="14"/>
      <c r="D391" s="14"/>
      <c r="E391" s="14"/>
    </row>
    <row r="392" spans="1:5" x14ac:dyDescent="0.25">
      <c r="A392" s="14"/>
      <c r="B392" s="14"/>
      <c r="C392" s="14"/>
      <c r="D392" s="14"/>
      <c r="E392" s="14"/>
    </row>
    <row r="393" spans="1:5" x14ac:dyDescent="0.25">
      <c r="A393" s="14"/>
      <c r="B393" s="14"/>
      <c r="C393" s="14"/>
      <c r="D393" s="14"/>
      <c r="E393" s="14"/>
    </row>
    <row r="394" spans="1:5" x14ac:dyDescent="0.25">
      <c r="A394" s="14"/>
      <c r="B394" s="14"/>
      <c r="C394" s="14"/>
      <c r="D394" s="14"/>
      <c r="E394" s="14"/>
    </row>
    <row r="395" spans="1:5" x14ac:dyDescent="0.25">
      <c r="A395" s="14"/>
      <c r="B395" s="14"/>
      <c r="C395" s="14"/>
      <c r="D395" s="14"/>
      <c r="E395" s="14"/>
    </row>
    <row r="396" spans="1:5" x14ac:dyDescent="0.25">
      <c r="A396" s="14"/>
      <c r="B396" s="14"/>
      <c r="C396" s="14"/>
      <c r="D396" s="14"/>
      <c r="E396" s="14"/>
    </row>
    <row r="397" spans="1:5" x14ac:dyDescent="0.25">
      <c r="A397" s="14"/>
      <c r="B397" s="14"/>
      <c r="C397" s="14"/>
      <c r="D397" s="14"/>
      <c r="E397" s="14"/>
    </row>
    <row r="398" spans="1:5" x14ac:dyDescent="0.25">
      <c r="A398" s="14"/>
      <c r="B398" s="14"/>
      <c r="C398" s="14"/>
      <c r="D398" s="14"/>
      <c r="E398" s="14"/>
    </row>
    <row r="399" spans="1:5" x14ac:dyDescent="0.25">
      <c r="A399" s="14"/>
      <c r="B399" s="14"/>
      <c r="C399" s="14"/>
      <c r="D399" s="14"/>
      <c r="E399" s="14"/>
    </row>
    <row r="400" spans="1:5" x14ac:dyDescent="0.25">
      <c r="A400" s="14"/>
      <c r="B400" s="14"/>
      <c r="C400" s="14"/>
      <c r="D400" s="14"/>
      <c r="E400" s="14"/>
    </row>
    <row r="401" spans="1:5" x14ac:dyDescent="0.25">
      <c r="A401" s="14"/>
      <c r="B401" s="14"/>
      <c r="C401" s="14"/>
      <c r="D401" s="14"/>
      <c r="E401" s="14"/>
    </row>
    <row r="402" spans="1:5" x14ac:dyDescent="0.25">
      <c r="A402" s="14"/>
      <c r="B402" s="14"/>
      <c r="C402" s="14"/>
      <c r="D402" s="14"/>
      <c r="E402" s="14"/>
    </row>
    <row r="403" spans="1:5" x14ac:dyDescent="0.25">
      <c r="A403" s="14"/>
      <c r="B403" s="14"/>
      <c r="C403" s="14"/>
      <c r="D403" s="14"/>
      <c r="E403" s="14"/>
    </row>
    <row r="404" spans="1:5" x14ac:dyDescent="0.25">
      <c r="A404" s="14"/>
      <c r="B404" s="14"/>
      <c r="C404" s="14"/>
      <c r="D404" s="14"/>
      <c r="E404" s="14"/>
    </row>
    <row r="405" spans="1:5" x14ac:dyDescent="0.25">
      <c r="A405" s="14"/>
      <c r="B405" s="14"/>
      <c r="C405" s="14"/>
      <c r="D405" s="14"/>
      <c r="E405" s="14"/>
    </row>
    <row r="406" spans="1:5" x14ac:dyDescent="0.25">
      <c r="A406" s="14"/>
      <c r="B406" s="14"/>
      <c r="C406" s="14"/>
      <c r="D406" s="14"/>
      <c r="E406" s="14"/>
    </row>
    <row r="407" spans="1:5" x14ac:dyDescent="0.25">
      <c r="A407" s="14"/>
      <c r="B407" s="14"/>
      <c r="C407" s="14"/>
      <c r="D407" s="14"/>
      <c r="E407" s="14"/>
    </row>
    <row r="408" spans="1:5" x14ac:dyDescent="0.25">
      <c r="A408" s="14"/>
      <c r="B408" s="14"/>
      <c r="C408" s="14"/>
      <c r="D408" s="14"/>
      <c r="E408" s="14"/>
    </row>
    <row r="409" spans="1:5" x14ac:dyDescent="0.25">
      <c r="A409" s="14"/>
      <c r="B409" s="14"/>
      <c r="C409" s="14"/>
      <c r="D409" s="14"/>
      <c r="E409" s="14"/>
    </row>
    <row r="410" spans="1:5" x14ac:dyDescent="0.25">
      <c r="A410" s="14"/>
      <c r="B410" s="14"/>
      <c r="C410" s="14"/>
      <c r="D410" s="14"/>
      <c r="E410" s="14"/>
    </row>
    <row r="411" spans="1:5" x14ac:dyDescent="0.25">
      <c r="A411" s="14"/>
      <c r="B411" s="14"/>
      <c r="C411" s="14"/>
      <c r="D411" s="14"/>
      <c r="E411" s="14"/>
    </row>
    <row r="412" spans="1:5" x14ac:dyDescent="0.25">
      <c r="A412" s="14"/>
      <c r="B412" s="14"/>
      <c r="C412" s="14"/>
      <c r="D412" s="14"/>
      <c r="E412" s="14"/>
    </row>
    <row r="413" spans="1:5" x14ac:dyDescent="0.25">
      <c r="A413" s="14"/>
      <c r="B413" s="14"/>
      <c r="C413" s="14"/>
      <c r="D413" s="14"/>
      <c r="E413" s="14"/>
    </row>
    <row r="414" spans="1:5" x14ac:dyDescent="0.25">
      <c r="A414" s="14"/>
      <c r="B414" s="14"/>
      <c r="C414" s="14"/>
      <c r="D414" s="14"/>
      <c r="E414" s="14"/>
    </row>
    <row r="415" spans="1:5" x14ac:dyDescent="0.25">
      <c r="A415" s="14"/>
      <c r="B415" s="14"/>
      <c r="C415" s="14"/>
      <c r="D415" s="14"/>
      <c r="E415" s="14"/>
    </row>
    <row r="416" spans="1:5" x14ac:dyDescent="0.25">
      <c r="A416" s="14"/>
      <c r="B416" s="14"/>
      <c r="C416" s="14"/>
      <c r="D416" s="14"/>
      <c r="E416" s="14"/>
    </row>
    <row r="417" spans="1:5" x14ac:dyDescent="0.25">
      <c r="A417" s="14"/>
      <c r="B417" s="14"/>
      <c r="C417" s="14"/>
      <c r="D417" s="14"/>
      <c r="E417" s="14"/>
    </row>
    <row r="418" spans="1:5" x14ac:dyDescent="0.25">
      <c r="A418" s="14"/>
      <c r="B418" s="14"/>
      <c r="C418" s="14"/>
      <c r="D418" s="14"/>
      <c r="E418" s="14"/>
    </row>
    <row r="419" spans="1:5" x14ac:dyDescent="0.25">
      <c r="A419" s="14"/>
      <c r="B419" s="14"/>
      <c r="C419" s="14"/>
      <c r="D419" s="14"/>
      <c r="E419" s="14"/>
    </row>
    <row r="420" spans="1:5" x14ac:dyDescent="0.25">
      <c r="A420" s="14"/>
      <c r="B420" s="14"/>
      <c r="C420" s="14"/>
      <c r="D420" s="14"/>
      <c r="E420" s="14"/>
    </row>
    <row r="421" spans="1:5" x14ac:dyDescent="0.25">
      <c r="A421" s="14"/>
      <c r="B421" s="14"/>
      <c r="C421" s="14"/>
      <c r="D421" s="14"/>
      <c r="E421" s="14"/>
    </row>
    <row r="422" spans="1:5" x14ac:dyDescent="0.25">
      <c r="A422" s="14"/>
      <c r="B422" s="14"/>
      <c r="C422" s="14"/>
      <c r="D422" s="14"/>
      <c r="E422" s="14"/>
    </row>
    <row r="423" spans="1:5" x14ac:dyDescent="0.25">
      <c r="A423" s="14"/>
      <c r="B423" s="14"/>
      <c r="C423" s="14"/>
      <c r="D423" s="14"/>
      <c r="E423" s="14"/>
    </row>
    <row r="424" spans="1:5" x14ac:dyDescent="0.25">
      <c r="A424" s="14"/>
      <c r="B424" s="14"/>
      <c r="C424" s="14"/>
      <c r="D424" s="14"/>
      <c r="E424" s="14"/>
    </row>
    <row r="425" spans="1:5" x14ac:dyDescent="0.25">
      <c r="A425" s="14"/>
      <c r="B425" s="14"/>
      <c r="C425" s="14"/>
      <c r="D425" s="14"/>
      <c r="E425" s="14"/>
    </row>
    <row r="426" spans="1:5" x14ac:dyDescent="0.25">
      <c r="A426" s="14"/>
      <c r="B426" s="14"/>
      <c r="C426" s="14"/>
      <c r="D426" s="14"/>
      <c r="E426" s="14"/>
    </row>
    <row r="427" spans="1:5" x14ac:dyDescent="0.25">
      <c r="A427" s="14"/>
      <c r="B427" s="14"/>
      <c r="C427" s="14"/>
      <c r="D427" s="14"/>
      <c r="E427" s="14"/>
    </row>
    <row r="428" spans="1:5" x14ac:dyDescent="0.25">
      <c r="A428" s="14"/>
      <c r="B428" s="14"/>
      <c r="C428" s="14"/>
      <c r="D428" s="14"/>
      <c r="E428" s="14"/>
    </row>
    <row r="429" spans="1:5" x14ac:dyDescent="0.25">
      <c r="A429" s="14"/>
      <c r="B429" s="14"/>
      <c r="C429" s="14"/>
      <c r="D429" s="14"/>
      <c r="E429" s="14"/>
    </row>
    <row r="430" spans="1:5" x14ac:dyDescent="0.25">
      <c r="A430" s="14"/>
      <c r="B430" s="14"/>
      <c r="C430" s="14"/>
      <c r="D430" s="14"/>
      <c r="E430" s="14"/>
    </row>
    <row r="431" spans="1:5" x14ac:dyDescent="0.25">
      <c r="A431" s="14"/>
      <c r="B431" s="14"/>
      <c r="C431" s="14"/>
      <c r="D431" s="14"/>
      <c r="E431" s="14"/>
    </row>
    <row r="432" spans="1:5" x14ac:dyDescent="0.25">
      <c r="A432" s="14"/>
      <c r="B432" s="14"/>
      <c r="C432" s="14"/>
      <c r="D432" s="14"/>
      <c r="E432" s="14"/>
    </row>
    <row r="433" spans="1:5" x14ac:dyDescent="0.25">
      <c r="A433" s="14"/>
      <c r="B433" s="14"/>
      <c r="C433" s="14"/>
      <c r="D433" s="14"/>
      <c r="E433" s="14"/>
    </row>
    <row r="434" spans="1:5" x14ac:dyDescent="0.25">
      <c r="A434" s="14"/>
      <c r="B434" s="14"/>
      <c r="C434" s="14"/>
      <c r="D434" s="14"/>
      <c r="E434" s="14"/>
    </row>
    <row r="435" spans="1:5" x14ac:dyDescent="0.25">
      <c r="A435" s="14"/>
      <c r="B435" s="14"/>
      <c r="C435" s="14"/>
      <c r="D435" s="14"/>
      <c r="E435" s="14"/>
    </row>
    <row r="436" spans="1:5" x14ac:dyDescent="0.25">
      <c r="A436" s="14"/>
      <c r="B436" s="14"/>
      <c r="C436" s="14"/>
      <c r="D436" s="14"/>
      <c r="E436" s="14"/>
    </row>
    <row r="437" spans="1:5" x14ac:dyDescent="0.25">
      <c r="A437" s="14"/>
      <c r="B437" s="14"/>
      <c r="C437" s="14"/>
      <c r="D437" s="14"/>
      <c r="E437" s="14"/>
    </row>
    <row r="438" spans="1:5" x14ac:dyDescent="0.25">
      <c r="A438" s="14"/>
      <c r="B438" s="14"/>
      <c r="C438" s="14"/>
      <c r="D438" s="14"/>
      <c r="E438" s="14"/>
    </row>
    <row r="439" spans="1:5" x14ac:dyDescent="0.25">
      <c r="A439" s="14"/>
      <c r="B439" s="14"/>
      <c r="C439" s="14"/>
      <c r="D439" s="14"/>
      <c r="E439" s="14"/>
    </row>
    <row r="440" spans="1:5" x14ac:dyDescent="0.25">
      <c r="A440" s="14"/>
      <c r="B440" s="14"/>
      <c r="C440" s="14"/>
      <c r="D440" s="14"/>
      <c r="E440" s="14"/>
    </row>
    <row r="441" spans="1:5" x14ac:dyDescent="0.25">
      <c r="A441" s="14"/>
      <c r="B441" s="14"/>
      <c r="C441" s="14"/>
      <c r="D441" s="14"/>
      <c r="E441" s="14"/>
    </row>
    <row r="442" spans="1:5" x14ac:dyDescent="0.25">
      <c r="A442" s="14"/>
      <c r="B442" s="14"/>
      <c r="C442" s="14"/>
      <c r="D442" s="14"/>
      <c r="E442" s="14"/>
    </row>
    <row r="443" spans="1:5" x14ac:dyDescent="0.25">
      <c r="A443" s="14"/>
      <c r="B443" s="14"/>
      <c r="C443" s="14"/>
      <c r="D443" s="14"/>
      <c r="E443" s="14"/>
    </row>
    <row r="444" spans="1:5" x14ac:dyDescent="0.25">
      <c r="A444" s="14"/>
      <c r="B444" s="14"/>
      <c r="C444" s="14"/>
      <c r="D444" s="14"/>
      <c r="E444" s="14"/>
    </row>
    <row r="445" spans="1:5" x14ac:dyDescent="0.25">
      <c r="A445" s="14"/>
      <c r="B445" s="14"/>
      <c r="C445" s="14"/>
      <c r="D445" s="14"/>
      <c r="E445" s="14"/>
    </row>
    <row r="446" spans="1:5" x14ac:dyDescent="0.25">
      <c r="A446" s="14"/>
      <c r="B446" s="14"/>
      <c r="C446" s="14"/>
      <c r="D446" s="14"/>
      <c r="E446" s="14"/>
    </row>
    <row r="447" spans="1:5" x14ac:dyDescent="0.25">
      <c r="A447" s="14"/>
      <c r="B447" s="14"/>
      <c r="C447" s="14"/>
      <c r="D447" s="14"/>
      <c r="E447" s="14"/>
    </row>
    <row r="448" spans="1:5" x14ac:dyDescent="0.25">
      <c r="A448" s="14"/>
      <c r="B448" s="14"/>
      <c r="C448" s="14"/>
      <c r="D448" s="14"/>
      <c r="E448" s="14"/>
    </row>
    <row r="449" spans="1:5" x14ac:dyDescent="0.25">
      <c r="A449" s="14"/>
      <c r="B449" s="14"/>
      <c r="C449" s="14"/>
      <c r="D449" s="14"/>
      <c r="E449" s="14"/>
    </row>
    <row r="450" spans="1:5" x14ac:dyDescent="0.25">
      <c r="A450" s="14"/>
      <c r="B450" s="14"/>
      <c r="C450" s="14"/>
      <c r="D450" s="14"/>
      <c r="E450" s="14"/>
    </row>
    <row r="451" spans="1:5" x14ac:dyDescent="0.25">
      <c r="A451" s="14"/>
      <c r="B451" s="14"/>
      <c r="C451" s="14"/>
      <c r="D451" s="14"/>
      <c r="E451" s="14"/>
    </row>
    <row r="452" spans="1:5" x14ac:dyDescent="0.25">
      <c r="A452" s="14"/>
      <c r="B452" s="14"/>
      <c r="C452" s="14"/>
      <c r="D452" s="14"/>
      <c r="E452" s="14"/>
    </row>
    <row r="453" spans="1:5" x14ac:dyDescent="0.25">
      <c r="A453" s="14"/>
      <c r="B453" s="14"/>
      <c r="C453" s="14"/>
      <c r="D453" s="14"/>
      <c r="E453" s="14"/>
    </row>
    <row r="454" spans="1:5" x14ac:dyDescent="0.25">
      <c r="A454" s="14"/>
      <c r="B454" s="14"/>
      <c r="C454" s="14"/>
      <c r="D454" s="14"/>
      <c r="E454" s="14"/>
    </row>
    <row r="455" spans="1:5" x14ac:dyDescent="0.25">
      <c r="A455" s="14"/>
      <c r="B455" s="14"/>
      <c r="C455" s="14"/>
      <c r="D455" s="14"/>
      <c r="E455" s="14"/>
    </row>
    <row r="456" spans="1:5" x14ac:dyDescent="0.25">
      <c r="A456" s="14"/>
      <c r="B456" s="14"/>
      <c r="C456" s="14"/>
      <c r="D456" s="14"/>
      <c r="E456" s="14"/>
    </row>
    <row r="457" spans="1:5" x14ac:dyDescent="0.25">
      <c r="A457" s="14"/>
      <c r="B457" s="14"/>
      <c r="C457" s="14"/>
      <c r="D457" s="14"/>
      <c r="E457" s="14"/>
    </row>
    <row r="458" spans="1:5" x14ac:dyDescent="0.25">
      <c r="A458" s="14"/>
      <c r="B458" s="14"/>
      <c r="C458" s="14"/>
      <c r="D458" s="14"/>
      <c r="E458" s="14"/>
    </row>
    <row r="459" spans="1:5" x14ac:dyDescent="0.25">
      <c r="A459" s="14"/>
      <c r="B459" s="14"/>
      <c r="C459" s="14"/>
      <c r="D459" s="14"/>
      <c r="E459" s="14"/>
    </row>
    <row r="460" spans="1:5" x14ac:dyDescent="0.25">
      <c r="A460" s="14"/>
      <c r="B460" s="14"/>
      <c r="C460" s="14"/>
      <c r="D460" s="14"/>
      <c r="E460" s="14"/>
    </row>
    <row r="461" spans="1:5" x14ac:dyDescent="0.25">
      <c r="A461" s="14"/>
      <c r="B461" s="14"/>
      <c r="C461" s="14"/>
      <c r="D461" s="14"/>
      <c r="E461" s="14"/>
    </row>
    <row r="462" spans="1:5" x14ac:dyDescent="0.25">
      <c r="A462" s="14"/>
      <c r="B462" s="14"/>
      <c r="C462" s="14"/>
      <c r="D462" s="14"/>
      <c r="E462" s="14"/>
    </row>
    <row r="463" spans="1:5" x14ac:dyDescent="0.25">
      <c r="A463" s="14"/>
      <c r="B463" s="14"/>
      <c r="C463" s="14"/>
      <c r="D463" s="14"/>
      <c r="E463" s="14"/>
    </row>
    <row r="464" spans="1:5" x14ac:dyDescent="0.25">
      <c r="A464" s="14"/>
      <c r="B464" s="14"/>
      <c r="C464" s="14"/>
      <c r="D464" s="14"/>
      <c r="E464" s="14"/>
    </row>
    <row r="465" spans="1:5" x14ac:dyDescent="0.25">
      <c r="A465" s="14"/>
      <c r="B465" s="14"/>
      <c r="C465" s="14"/>
      <c r="D465" s="14"/>
      <c r="E465" s="14"/>
    </row>
    <row r="466" spans="1:5" x14ac:dyDescent="0.25">
      <c r="A466" s="14"/>
      <c r="B466" s="14"/>
      <c r="C466" s="14"/>
      <c r="D466" s="14"/>
      <c r="E466" s="14"/>
    </row>
    <row r="467" spans="1:5" x14ac:dyDescent="0.25">
      <c r="A467" s="14"/>
      <c r="B467" s="14"/>
      <c r="C467" s="14"/>
      <c r="D467" s="14"/>
      <c r="E467" s="14"/>
    </row>
    <row r="468" spans="1:5" x14ac:dyDescent="0.25">
      <c r="A468" s="14"/>
      <c r="B468" s="14"/>
      <c r="C468" s="14"/>
      <c r="D468" s="14"/>
      <c r="E468" s="14"/>
    </row>
    <row r="469" spans="1:5" x14ac:dyDescent="0.25">
      <c r="A469" s="14"/>
      <c r="B469" s="14"/>
      <c r="C469" s="14"/>
      <c r="D469" s="14"/>
      <c r="E469" s="14"/>
    </row>
    <row r="470" spans="1:5" x14ac:dyDescent="0.25">
      <c r="A470" s="14"/>
      <c r="B470" s="14"/>
      <c r="C470" s="14"/>
      <c r="D470" s="14"/>
      <c r="E470" s="14"/>
    </row>
    <row r="471" spans="1:5" x14ac:dyDescent="0.25">
      <c r="A471" s="14"/>
      <c r="B471" s="14"/>
      <c r="C471" s="14"/>
      <c r="D471" s="14"/>
      <c r="E471" s="14"/>
    </row>
    <row r="472" spans="1:5" x14ac:dyDescent="0.25">
      <c r="A472" s="14"/>
      <c r="B472" s="14"/>
      <c r="C472" s="14"/>
      <c r="D472" s="14"/>
      <c r="E472" s="14"/>
    </row>
    <row r="473" spans="1:5" x14ac:dyDescent="0.25">
      <c r="A473" s="14"/>
      <c r="B473" s="14"/>
      <c r="C473" s="14"/>
      <c r="D473" s="14"/>
      <c r="E473" s="14"/>
    </row>
    <row r="474" spans="1:5" x14ac:dyDescent="0.25">
      <c r="A474" s="14"/>
      <c r="B474" s="14"/>
      <c r="C474" s="14"/>
      <c r="D474" s="14"/>
      <c r="E474" s="14"/>
    </row>
    <row r="475" spans="1:5" x14ac:dyDescent="0.25">
      <c r="A475" s="14"/>
      <c r="B475" s="14"/>
      <c r="C475" s="14"/>
      <c r="D475" s="14"/>
      <c r="E475" s="14"/>
    </row>
    <row r="476" spans="1:5" x14ac:dyDescent="0.25">
      <c r="A476" s="14"/>
      <c r="B476" s="14"/>
      <c r="C476" s="14"/>
      <c r="D476" s="14"/>
      <c r="E476" s="14"/>
    </row>
    <row r="477" spans="1:5" x14ac:dyDescent="0.25">
      <c r="A477" s="14"/>
      <c r="B477" s="14"/>
      <c r="C477" s="14"/>
      <c r="D477" s="14"/>
      <c r="E477" s="14"/>
    </row>
    <row r="478" spans="1:5" x14ac:dyDescent="0.25">
      <c r="A478" s="14"/>
      <c r="B478" s="14"/>
      <c r="C478" s="14"/>
      <c r="D478" s="14"/>
      <c r="E478" s="14"/>
    </row>
    <row r="479" spans="1:5" x14ac:dyDescent="0.25">
      <c r="A479" s="14"/>
      <c r="B479" s="14"/>
      <c r="C479" s="14"/>
      <c r="D479" s="14"/>
      <c r="E479" s="14"/>
    </row>
    <row r="480" spans="1:5" x14ac:dyDescent="0.25">
      <c r="A480" s="14"/>
      <c r="B480" s="14"/>
      <c r="C480" s="14"/>
      <c r="D480" s="14"/>
      <c r="E480" s="14"/>
    </row>
    <row r="481" spans="1:5" x14ac:dyDescent="0.25">
      <c r="A481" s="14"/>
      <c r="B481" s="14"/>
      <c r="C481" s="14"/>
      <c r="D481" s="14"/>
      <c r="E481" s="14"/>
    </row>
    <row r="482" spans="1:5" x14ac:dyDescent="0.25">
      <c r="A482" s="14"/>
      <c r="B482" s="14"/>
      <c r="C482" s="14"/>
      <c r="D482" s="14"/>
      <c r="E482" s="14"/>
    </row>
    <row r="483" spans="1:5" x14ac:dyDescent="0.25">
      <c r="A483" s="14"/>
      <c r="B483" s="14"/>
      <c r="C483" s="14"/>
      <c r="D483" s="14"/>
      <c r="E483" s="14"/>
    </row>
    <row r="484" spans="1:5" x14ac:dyDescent="0.25">
      <c r="A484" s="14"/>
      <c r="B484" s="14"/>
      <c r="C484" s="14"/>
      <c r="D484" s="14"/>
      <c r="E484" s="14"/>
    </row>
    <row r="485" spans="1:5" x14ac:dyDescent="0.25">
      <c r="A485" s="14"/>
      <c r="B485" s="14"/>
      <c r="C485" s="14"/>
      <c r="D485" s="14"/>
      <c r="E485" s="14"/>
    </row>
    <row r="486" spans="1:5" x14ac:dyDescent="0.25">
      <c r="A486" s="14"/>
      <c r="B486" s="14"/>
      <c r="C486" s="14"/>
      <c r="D486" s="14"/>
      <c r="E486" s="14"/>
    </row>
    <row r="487" spans="1:5" x14ac:dyDescent="0.25">
      <c r="A487" s="14"/>
      <c r="B487" s="14"/>
      <c r="C487" s="14"/>
      <c r="D487" s="14"/>
      <c r="E487" s="14"/>
    </row>
    <row r="488" spans="1:5" x14ac:dyDescent="0.25">
      <c r="A488" s="14"/>
      <c r="B488" s="14"/>
      <c r="C488" s="14"/>
      <c r="D488" s="14"/>
      <c r="E488" s="14"/>
    </row>
    <row r="489" spans="1:5" x14ac:dyDescent="0.25">
      <c r="A489" s="14"/>
      <c r="B489" s="14"/>
      <c r="C489" s="14"/>
      <c r="D489" s="14"/>
      <c r="E489" s="14"/>
    </row>
    <row r="490" spans="1:5" x14ac:dyDescent="0.25">
      <c r="A490" s="14"/>
      <c r="B490" s="14"/>
      <c r="C490" s="14"/>
      <c r="D490" s="14"/>
      <c r="E490" s="14"/>
    </row>
    <row r="491" spans="1:5" x14ac:dyDescent="0.25">
      <c r="A491" s="14"/>
      <c r="B491" s="14"/>
      <c r="C491" s="14"/>
      <c r="D491" s="14"/>
      <c r="E491" s="14"/>
    </row>
    <row r="492" spans="1:5" x14ac:dyDescent="0.25">
      <c r="A492" s="14"/>
      <c r="B492" s="14"/>
      <c r="C492" s="14"/>
      <c r="D492" s="14"/>
      <c r="E492" s="14"/>
    </row>
    <row r="493" spans="1:5" x14ac:dyDescent="0.25">
      <c r="A493" s="14"/>
      <c r="B493" s="14"/>
      <c r="C493" s="14"/>
      <c r="D493" s="14"/>
      <c r="E493" s="14"/>
    </row>
    <row r="494" spans="1:5" x14ac:dyDescent="0.25">
      <c r="A494" s="14"/>
      <c r="B494" s="14"/>
      <c r="C494" s="14"/>
      <c r="D494" s="14"/>
      <c r="E494" s="14"/>
    </row>
    <row r="495" spans="1:5" x14ac:dyDescent="0.25">
      <c r="A495" s="14"/>
      <c r="B495" s="14"/>
      <c r="C495" s="14"/>
      <c r="D495" s="14"/>
      <c r="E495" s="14"/>
    </row>
    <row r="496" spans="1:5" x14ac:dyDescent="0.25">
      <c r="A496" s="14"/>
      <c r="B496" s="14"/>
      <c r="C496" s="14"/>
      <c r="D496" s="14"/>
      <c r="E496" s="14"/>
    </row>
    <row r="497" spans="1:5" x14ac:dyDescent="0.25">
      <c r="A497" s="14"/>
      <c r="B497" s="14"/>
      <c r="C497" s="14"/>
      <c r="D497" s="14"/>
      <c r="E497" s="14"/>
    </row>
    <row r="498" spans="1:5" x14ac:dyDescent="0.25">
      <c r="A498" s="14"/>
      <c r="B498" s="14"/>
      <c r="C498" s="14"/>
      <c r="D498" s="14"/>
      <c r="E498" s="14"/>
    </row>
    <row r="499" spans="1:5" x14ac:dyDescent="0.25">
      <c r="A499" s="14"/>
      <c r="B499" s="14"/>
      <c r="C499" s="14"/>
      <c r="D499" s="14"/>
      <c r="E499" s="14"/>
    </row>
    <row r="500" spans="1:5" x14ac:dyDescent="0.25">
      <c r="A500" s="14"/>
      <c r="B500" s="14"/>
      <c r="C500" s="14"/>
      <c r="D500" s="14"/>
      <c r="E500" s="14"/>
    </row>
    <row r="501" spans="1:5" x14ac:dyDescent="0.25">
      <c r="A501" s="14"/>
      <c r="B501" s="14"/>
      <c r="C501" s="14"/>
      <c r="D501" s="14"/>
      <c r="E501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Графики</vt:lpstr>
      <vt:lpstr>№1</vt:lpstr>
      <vt:lpstr>NiPA-62-F_UG_1__2026-03-24_11-4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ICV_63</dc:creator>
  <cp:lastModifiedBy>- -</cp:lastModifiedBy>
  <cp:lastPrinted>2025-09-05T07:58:49Z</cp:lastPrinted>
  <dcterms:created xsi:type="dcterms:W3CDTF">2015-06-05T18:19:34Z</dcterms:created>
  <dcterms:modified xsi:type="dcterms:W3CDTF">2026-05-06T10:11:07Z</dcterms:modified>
</cp:coreProperties>
</file>