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00" tabRatio="754" firstSheet="0" activeTab="0" autoFilterDateGrouping="1"/>
  </bookViews>
  <sheets>
    <sheet name="Графики" sheetId="1" state="visible" r:id="rId1"/>
    <sheet name="№1" sheetId="2" state="visible" r:id="rId2"/>
    <sheet name="NiPA-62-F_UG_1__2026-03-24_11-4" sheetId="3" state="visible" r:id="rId3"/>
    <sheet name="NiPA-62-F_UG_2__2026-03-24_11-5" sheetId="4" state="visible" r:id="rId4"/>
    <sheet name="NiPA-62-F_UG_3__2026-03-24_13-0" sheetId="5" state="visible" r:id="rId5"/>
    <sheet name="NiPA-62-F_UG_4__2026-03-24_13-1" sheetId="6" state="visible" r:id="rId6"/>
    <sheet name="NiPA-62-F_UG_5__2026-03-24_13-2" sheetId="7" state="visible" r:id="rId7"/>
    <sheet name="NiPA-62-F_UG_6__2026-03-24_13-2" sheetId="8" state="visible" r:id="rId8"/>
    <sheet name="NiPA-62-F_UG_7__2026-03-24_13-3" sheetId="9" state="visible" r:id="rId9"/>
    <sheet name="NiPA-64-F-MD_1.1_18dBm_IMP_iPA-" sheetId="10" state="visible" r:id="rId10"/>
    <sheet name="TXT_SAMPLE_CHECK_FIXED2" sheetId="11" state="visible" r:id="rId11"/>
  </sheets>
  <definedNames/>
  <calcPr calcId="0" fullCalcOnLoad="1" calcOnSave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b val="1"/>
      <color theme="1"/>
      <sz val="20"/>
      <scheme val="minor"/>
    </font>
    <font>
      <name val="Calibri"/>
      <charset val="204"/>
      <family val="2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3" fillId="0" borderId="0" pivotButton="0" quotePrefix="0" xfId="2"/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wrapText="1"/>
    </xf>
    <xf numFmtId="0" fontId="5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5" pivotButton="0" quotePrefix="0" xfId="0"/>
    <xf numFmtId="49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0">
    <cellStyle name="Обычный" xfId="0" builtinId="0"/>
    <cellStyle name="Обычный 2" xfId="1"/>
    <cellStyle name="Обычный 3" xfId="2"/>
    <cellStyle name="Обычный 4" xfId="3"/>
    <cellStyle name="Обычный 2 2" xfId="4"/>
    <cellStyle name="Обычный 5" xfId="5"/>
    <cellStyle name="Обычный 4 2" xfId="6"/>
    <cellStyle name="Обычный 2 3" xfId="7"/>
    <cellStyle name="Обычный 2 2 2" xfId="8"/>
    <cellStyle name="Обычный 5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Графики!$C$5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Графики!$C$6:$C$41</f>
              <numCache>
                <formatCode>0.0</formatCode>
                <ptCount val="36"/>
                <pt idx="0">
                  <v>2.245544676282953</v>
                </pt>
                <pt idx="1">
                  <v>3.117742908002869</v>
                </pt>
                <pt idx="2">
                  <v>4.172694601810684</v>
                </pt>
                <pt idx="3">
                  <v>4.596398772550216</v>
                </pt>
                <pt idx="4">
                  <v>5.018489270871994</v>
                </pt>
                <pt idx="5">
                  <v>5.292434599585804</v>
                </pt>
                <pt idx="6">
                  <v>5.986254823651108</v>
                </pt>
                <pt idx="7">
                  <v>6.222949834641121</v>
                </pt>
                <pt idx="8">
                  <v>6.978620791308623</v>
                </pt>
                <pt idx="9">
                  <v>8.170136266119302</v>
                </pt>
                <pt idx="10">
                  <v>9.532969422455361</v>
                </pt>
                <pt idx="11">
                  <v>10.63910022121716</v>
                </pt>
                <pt idx="12">
                  <v>10.76773602197984</v>
                </pt>
                <pt idx="13">
                  <v>11.38805091047202</v>
                </pt>
                <pt idx="14">
                  <v>11.12625220210443</v>
                </pt>
                <pt idx="15">
                  <v>11.96670541192522</v>
                </pt>
                <pt idx="16">
                  <v>11.84831249429951</v>
                </pt>
                <pt idx="17">
                  <v>10.37768298890342</v>
                </pt>
                <pt idx="18">
                  <v>9.644566235082797</v>
                </pt>
                <pt idx="19">
                  <v>8.539267137760151</v>
                </pt>
                <pt idx="20">
                  <v>8.733555812766047</v>
                </pt>
                <pt idx="21">
                  <v>9.442184885275442</v>
                </pt>
                <pt idx="22">
                  <v>9.277673825675182</v>
                </pt>
                <pt idx="23">
                  <v>9.170605258854174</v>
                </pt>
                <pt idx="24">
                  <v>9.723483912582291</v>
                </pt>
                <pt idx="25">
                  <v>9.802584620009537</v>
                </pt>
                <pt idx="26">
                  <v>10.17655302885762</v>
                </pt>
                <pt idx="27">
                  <v>10.05910635566539</v>
                </pt>
                <pt idx="28">
                  <v>9.479211208692423</v>
                </pt>
                <pt idx="29">
                  <v>10.26914059896565</v>
                </pt>
                <pt idx="30">
                  <v>10.58823325287538</v>
                </pt>
                <pt idx="31">
                  <v>10.7034134101035</v>
                </pt>
                <pt idx="32">
                  <v>11.01209121321783</v>
                </pt>
                <pt idx="33">
                  <v>11.37906819063996</v>
                </pt>
                <pt idx="34">
                  <v>12.21451142298555</v>
                </pt>
                <pt idx="35">
                  <v>12.74357560877774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Графики!$E$6:$E$41</f>
              <numCache>
                <formatCode>0.0</formatCode>
                <ptCount val="36"/>
                <pt idx="0">
                  <v>8.720022999999999</v>
                </pt>
                <pt idx="1">
                  <v>8.687041000000001</v>
                </pt>
                <pt idx="2">
                  <v>8.492011</v>
                </pt>
                <pt idx="3">
                  <v>9.156235000000001</v>
                </pt>
                <pt idx="4">
                  <v>9.576772999999999</v>
                </pt>
                <pt idx="5">
                  <v>9.572195000000001</v>
                </pt>
                <pt idx="6">
                  <v>9.407576000000001</v>
                </pt>
                <pt idx="7">
                  <v>8.663349999999999</v>
                </pt>
                <pt idx="8">
                  <v>8.771689</v>
                </pt>
                <pt idx="9">
                  <v>8.846202</v>
                </pt>
                <pt idx="10">
                  <v>8.85384</v>
                </pt>
                <pt idx="11">
                  <v>8.560636000000001</v>
                </pt>
                <pt idx="12">
                  <v>8.407158000000001</v>
                </pt>
                <pt idx="13">
                  <v>8.879682000000001</v>
                </pt>
                <pt idx="14">
                  <v>8.968643999999999</v>
                </pt>
                <pt idx="15">
                  <v>9.481197999999999</v>
                </pt>
                <pt idx="16">
                  <v>9.939154</v>
                </pt>
                <pt idx="17">
                  <v>9.449149999999999</v>
                </pt>
                <pt idx="18">
                  <v>9.966258</v>
                </pt>
                <pt idx="19">
                  <v>9.656988999999999</v>
                </pt>
                <pt idx="20">
                  <v>9.316214</v>
                </pt>
                <pt idx="21">
                  <v>9.282894000000001</v>
                </pt>
                <pt idx="22">
                  <v>9.375909</v>
                </pt>
                <pt idx="23">
                  <v>8.755545</v>
                </pt>
                <pt idx="24">
                  <v>8.187564</v>
                </pt>
                <pt idx="25">
                  <v>8.307334000000001</v>
                </pt>
                <pt idx="26">
                  <v>7.855953</v>
                </pt>
                <pt idx="27">
                  <v>7.844463</v>
                </pt>
                <pt idx="28">
                  <v>7.657641</v>
                </pt>
                <pt idx="29">
                  <v>7.142879</v>
                </pt>
                <pt idx="30">
                  <v>6.878695</v>
                </pt>
                <pt idx="31">
                  <v>6.930463</v>
                </pt>
                <pt idx="32">
                  <v>7.332934</v>
                </pt>
                <pt idx="33">
                  <v>7.346444</v>
                </pt>
                <pt idx="34">
                  <v>7.587704</v>
                </pt>
                <pt idx="35">
                  <v>7.2853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Графики!$F$6:$F$41</f>
              <numCache>
                <formatCode>0.0</formatCode>
                <ptCount val="36"/>
                <pt idx="0">
                  <v>8.717233</v>
                </pt>
                <pt idx="1">
                  <v>8.641819</v>
                </pt>
                <pt idx="2">
                  <v>8.474698</v>
                </pt>
                <pt idx="3">
                  <v>9.150506999999999</v>
                </pt>
                <pt idx="4">
                  <v>9.572592999999999</v>
                </pt>
                <pt idx="5">
                  <v>9.598508000000001</v>
                </pt>
                <pt idx="6">
                  <v>9.393411</v>
                </pt>
                <pt idx="7">
                  <v>8.653111000000001</v>
                </pt>
                <pt idx="8">
                  <v>8.760104999999999</v>
                </pt>
                <pt idx="9">
                  <v>8.817622999999999</v>
                </pt>
                <pt idx="10">
                  <v>8.706854999999999</v>
                </pt>
                <pt idx="11">
                  <v>8.597365999999999</v>
                </pt>
                <pt idx="12">
                  <v>8.471579999999999</v>
                </pt>
                <pt idx="13">
                  <v>8.900361999999999</v>
                </pt>
                <pt idx="14">
                  <v>8.908029000000001</v>
                </pt>
                <pt idx="15">
                  <v>9.353630000000001</v>
                </pt>
                <pt idx="16">
                  <v>9.898569</v>
                </pt>
                <pt idx="17">
                  <v>9.454291</v>
                </pt>
                <pt idx="18">
                  <v>9.916321999999999</v>
                </pt>
                <pt idx="19">
                  <v>9.634275000000001</v>
                </pt>
                <pt idx="20">
                  <v>9.256391000000001</v>
                </pt>
                <pt idx="21">
                  <v>9.217902</v>
                </pt>
                <pt idx="22">
                  <v>9.236964</v>
                </pt>
                <pt idx="23">
                  <v>8.349598</v>
                </pt>
                <pt idx="24">
                  <v>8.161749</v>
                </pt>
                <pt idx="25">
                  <v>8.165051999999999</v>
                </pt>
                <pt idx="26">
                  <v>7.661642</v>
                </pt>
                <pt idx="27">
                  <v>7.696046</v>
                </pt>
                <pt idx="28">
                  <v>7.491254</v>
                </pt>
                <pt idx="29">
                  <v>6.942889</v>
                </pt>
                <pt idx="30">
                  <v>6.734683</v>
                </pt>
                <pt idx="31">
                  <v>6.834649</v>
                </pt>
                <pt idx="32">
                  <v>7.206722</v>
                </pt>
                <pt idx="33">
                  <v>7.29521</v>
                </pt>
                <pt idx="34">
                  <v>7.43113</v>
                </pt>
                <pt idx="35">
                  <v>7.143277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Графики!$G$6:$G$41</f>
              <numCache>
                <formatCode>0.0</formatCode>
                <ptCount val="36"/>
                <pt idx="0">
                  <v>8.761903999999999</v>
                </pt>
                <pt idx="1">
                  <v>8.730048999999999</v>
                </pt>
                <pt idx="2">
                  <v>8.581732000000001</v>
                </pt>
                <pt idx="3">
                  <v>9.228175</v>
                </pt>
                <pt idx="4">
                  <v>9.609495000000001</v>
                </pt>
                <pt idx="5">
                  <v>9.601679000000001</v>
                </pt>
                <pt idx="6">
                  <v>9.425962999999999</v>
                </pt>
                <pt idx="7">
                  <v>8.636492000000001</v>
                </pt>
                <pt idx="8">
                  <v>8.685924999999999</v>
                </pt>
                <pt idx="9">
                  <v>8.547580999999999</v>
                </pt>
                <pt idx="10">
                  <v>8.461978999999999</v>
                </pt>
                <pt idx="11">
                  <v>8.234292999999999</v>
                </pt>
                <pt idx="12">
                  <v>8.356104999999999</v>
                </pt>
                <pt idx="13">
                  <v>8.994225</v>
                </pt>
                <pt idx="14">
                  <v>9.088252000000001</v>
                </pt>
                <pt idx="15">
                  <v>9.597310999999999</v>
                </pt>
                <pt idx="16">
                  <v>10.117505</v>
                </pt>
                <pt idx="17">
                  <v>9.630886</v>
                </pt>
                <pt idx="18">
                  <v>10.162508</v>
                </pt>
                <pt idx="19">
                  <v>9.859280999999999</v>
                </pt>
                <pt idx="20">
                  <v>9.463673999999999</v>
                </pt>
                <pt idx="21">
                  <v>9.400373999999999</v>
                </pt>
                <pt idx="22">
                  <v>9.420526000000001</v>
                </pt>
                <pt idx="23">
                  <v>8.789434</v>
                </pt>
                <pt idx="24">
                  <v>8.231702</v>
                </pt>
                <pt idx="25">
                  <v>8.341975</v>
                </pt>
                <pt idx="26">
                  <v>7.922727</v>
                </pt>
                <pt idx="27">
                  <v>7.943926</v>
                </pt>
                <pt idx="28">
                  <v>7.706311</v>
                </pt>
                <pt idx="29">
                  <v>7.203249</v>
                </pt>
                <pt idx="30">
                  <v>6.986766</v>
                </pt>
                <pt idx="31">
                  <v>7.017263</v>
                </pt>
                <pt idx="32">
                  <v>7.412359</v>
                </pt>
                <pt idx="33">
                  <v>7.550399</v>
                </pt>
                <pt idx="34">
                  <v>7.656267</v>
                </pt>
                <pt idx="35">
                  <v>7.368181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Графики!$H$6:$H$41</f>
              <numCache>
                <formatCode>0.0</formatCode>
                <ptCount val="36"/>
                <pt idx="0">
                  <v>8.735362</v>
                </pt>
                <pt idx="1">
                  <v>8.651654000000001</v>
                </pt>
                <pt idx="2">
                  <v>8.490698</v>
                </pt>
                <pt idx="3">
                  <v>9.168233000000001</v>
                </pt>
                <pt idx="4">
                  <v>9.62041</v>
                </pt>
                <pt idx="5">
                  <v>9.705444</v>
                </pt>
                <pt idx="6">
                  <v>9.469246999999999</v>
                </pt>
                <pt idx="7">
                  <v>8.81507</v>
                </pt>
                <pt idx="8">
                  <v>8.989281</v>
                </pt>
                <pt idx="9">
                  <v>9.140366</v>
                </pt>
                <pt idx="10">
                  <v>9.1807</v>
                </pt>
                <pt idx="11">
                  <v>9.197400999999999</v>
                </pt>
                <pt idx="12">
                  <v>8.924015000000001</v>
                </pt>
                <pt idx="13">
                  <v>9.156233</v>
                </pt>
                <pt idx="14">
                  <v>9.018796</v>
                </pt>
                <pt idx="15">
                  <v>9.504307000000001</v>
                </pt>
                <pt idx="16">
                  <v>9.964993</v>
                </pt>
                <pt idx="17">
                  <v>9.461943</v>
                </pt>
                <pt idx="18">
                  <v>10.00523</v>
                </pt>
                <pt idx="19">
                  <v>9.734596</v>
                </pt>
                <pt idx="20">
                  <v>9.376037999999999</v>
                </pt>
                <pt idx="21">
                  <v>9.338333</v>
                </pt>
                <pt idx="22">
                  <v>9.322255</v>
                </pt>
                <pt idx="23">
                  <v>8.677764</v>
                </pt>
                <pt idx="24">
                  <v>8.20579</v>
                </pt>
                <pt idx="25">
                  <v>8.262992000000001</v>
                </pt>
                <pt idx="26">
                  <v>7.823622</v>
                </pt>
                <pt idx="27">
                  <v>7.944681</v>
                </pt>
                <pt idx="28">
                  <v>7.529852</v>
                </pt>
                <pt idx="29">
                  <v>7.124424</v>
                </pt>
                <pt idx="30">
                  <v>6.947358</v>
                </pt>
                <pt idx="31">
                  <v>7.009238</v>
                </pt>
                <pt idx="32">
                  <v>7.355198</v>
                </pt>
                <pt idx="33">
                  <v>7.461876</v>
                </pt>
                <pt idx="34">
                  <v>7.550845</v>
                </pt>
                <pt idx="35">
                  <v>7.261619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Графики!$I$6:$I$41</f>
              <numCache>
                <formatCode>0.0</formatCode>
                <ptCount val="36"/>
                <pt idx="0">
                  <v>7.346715</v>
                </pt>
                <pt idx="1">
                  <v>7.336546</v>
                </pt>
                <pt idx="2">
                  <v>7.14844</v>
                </pt>
                <pt idx="3">
                  <v>7.388749</v>
                </pt>
                <pt idx="4">
                  <v>7.576303</v>
                </pt>
                <pt idx="5">
                  <v>7.430802</v>
                </pt>
                <pt idx="6">
                  <v>7.312539</v>
                </pt>
                <pt idx="7">
                  <v>6.681868</v>
                </pt>
                <pt idx="8">
                  <v>6.523062</v>
                </pt>
                <pt idx="9">
                  <v>6.429762</v>
                </pt>
                <pt idx="10">
                  <v>6.553131</v>
                </pt>
                <pt idx="11">
                  <v>6.523208</v>
                </pt>
                <pt idx="12">
                  <v>6.193524</v>
                </pt>
                <pt idx="13">
                  <v>5.837524</v>
                </pt>
                <pt idx="14">
                  <v>5.093579</v>
                </pt>
                <pt idx="15">
                  <v>4.860572</v>
                </pt>
                <pt idx="16">
                  <v>4.959476</v>
                </pt>
                <pt idx="17">
                  <v>4.380726</v>
                </pt>
                <pt idx="18">
                  <v>4.061301</v>
                </pt>
                <pt idx="19">
                  <v>3.728917</v>
                </pt>
                <pt idx="20">
                  <v>3.520083</v>
                </pt>
                <pt idx="21">
                  <v>3.674315</v>
                </pt>
                <pt idx="22">
                  <v>3.510395</v>
                </pt>
                <pt idx="23">
                  <v>3.10779</v>
                </pt>
                <pt idx="24">
                  <v>3.032476</v>
                </pt>
                <pt idx="25">
                  <v>2.891574</v>
                </pt>
                <pt idx="26">
                  <v>2.964585</v>
                </pt>
                <pt idx="27">
                  <v>3.046858</v>
                </pt>
                <pt idx="28">
                  <v>2.700856</v>
                </pt>
                <pt idx="29">
                  <v>2.791957</v>
                </pt>
                <pt idx="30">
                  <v>2.807078</v>
                </pt>
                <pt idx="31">
                  <v>2.656403</v>
                </pt>
                <pt idx="32">
                  <v>2.51802</v>
                </pt>
                <pt idx="33">
                  <v>2.489329</v>
                </pt>
                <pt idx="34">
                  <v>2.266724</v>
                </pt>
                <pt idx="35">
                  <v>2.186427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Графики!$J$6:$J$41</f>
              <numCache>
                <formatCode>0.0</formatCode>
                <ptCount val="36"/>
                <pt idx="0">
                  <v>8.759028000000001</v>
                </pt>
                <pt idx="1">
                  <v>8.720076000000001</v>
                </pt>
                <pt idx="2">
                  <v>8.563758999999999</v>
                </pt>
                <pt idx="3">
                  <v>9.197525000000001</v>
                </pt>
                <pt idx="4">
                  <v>9.591015000000001</v>
                </pt>
                <pt idx="5">
                  <v>9.559284999999999</v>
                </pt>
                <pt idx="6">
                  <v>9.400221</v>
                </pt>
                <pt idx="7">
                  <v>8.619342</v>
                </pt>
                <pt idx="8">
                  <v>8.685997</v>
                </pt>
                <pt idx="9">
                  <v>8.666112999999999</v>
                </pt>
                <pt idx="10">
                  <v>8.607621</v>
                </pt>
                <pt idx="11">
                  <v>8.314306</v>
                </pt>
                <pt idx="12">
                  <v>8.303163</v>
                </pt>
                <pt idx="13">
                  <v>8.900074</v>
                </pt>
                <pt idx="14">
                  <v>9.000165000000001</v>
                </pt>
                <pt idx="15">
                  <v>9.463103</v>
                </pt>
                <pt idx="16">
                  <v>9.951108</v>
                </pt>
                <pt idx="17">
                  <v>9.430491999999999</v>
                </pt>
                <pt idx="18">
                  <v>10.005076</v>
                </pt>
                <pt idx="19">
                  <v>9.657475</v>
                </pt>
                <pt idx="20">
                  <v>9.316462</v>
                </pt>
                <pt idx="21">
                  <v>9.282862</v>
                </pt>
                <pt idx="22">
                  <v>9.368164</v>
                </pt>
                <pt idx="23">
                  <v>8.794461</v>
                </pt>
                <pt idx="24">
                  <v>8.159191999999999</v>
                </pt>
                <pt idx="25">
                  <v>8.193906999999999</v>
                </pt>
                <pt idx="26">
                  <v>7.759751</v>
                </pt>
                <pt idx="27">
                  <v>7.777823</v>
                </pt>
                <pt idx="28">
                  <v>7.59436</v>
                </pt>
                <pt idx="29">
                  <v>7.067257</v>
                </pt>
                <pt idx="30">
                  <v>6.821365</v>
                </pt>
                <pt idx="31">
                  <v>6.828599</v>
                </pt>
                <pt idx="32">
                  <v>7.25512</v>
                </pt>
                <pt idx="33">
                  <v>7.281138</v>
                </pt>
                <pt idx="34">
                  <v>7.514159</v>
                </pt>
                <pt idx="35">
                  <v>7.222466</v>
                </pt>
              </numCache>
            </numRef>
          </yVal>
          <smooth val="1"/>
        </ser>
        <ser>
          <idx val="12"/>
          <order val="7"/>
          <tx>
            <strRef>
              <f>Графики!$D$5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Графики!$D$6:$D$41</f>
              <numCache>
                <formatCode>0.0</formatCode>
                <ptCount val="36"/>
                <pt idx="0">
                  <v>8.674360999999999</v>
                </pt>
                <pt idx="1">
                  <v>8.643250999999999</v>
                </pt>
                <pt idx="2">
                  <v>8.489945000000001</v>
                </pt>
                <pt idx="3">
                  <v>9.161624</v>
                </pt>
                <pt idx="4">
                  <v>9.564864</v>
                </pt>
                <pt idx="5">
                  <v>9.57775</v>
                </pt>
                <pt idx="6">
                  <v>9.387549</v>
                </pt>
                <pt idx="7">
                  <v>8.658021</v>
                </pt>
                <pt idx="8">
                  <v>8.757329</v>
                </pt>
                <pt idx="9">
                  <v>8.746848</v>
                </pt>
                <pt idx="10">
                  <v>8.607723999999999</v>
                </pt>
                <pt idx="11">
                  <v>8.410408</v>
                </pt>
                <pt idx="12">
                  <v>8.397864999999999</v>
                </pt>
                <pt idx="13">
                  <v>8.943144999999999</v>
                </pt>
                <pt idx="14">
                  <v>9.048928999999999</v>
                </pt>
                <pt idx="15">
                  <v>9.521342000000001</v>
                </pt>
                <pt idx="16">
                  <v>10.012318</v>
                </pt>
                <pt idx="17">
                  <v>9.597080999999999</v>
                </pt>
                <pt idx="18">
                  <v>10.055064</v>
                </pt>
                <pt idx="19">
                  <v>9.746203</v>
                </pt>
                <pt idx="20">
                  <v>9.356814999999999</v>
                </pt>
                <pt idx="21">
                  <v>9.283868</v>
                </pt>
                <pt idx="22">
                  <v>9.290908999999999</v>
                </pt>
                <pt idx="23">
                  <v>8.455434</v>
                </pt>
                <pt idx="24">
                  <v>8.162485999999999</v>
                </pt>
                <pt idx="25">
                  <v>8.241816</v>
                </pt>
                <pt idx="26">
                  <v>7.807193</v>
                </pt>
                <pt idx="27">
                  <v>7.809251</v>
                </pt>
                <pt idx="28">
                  <v>7.603631</v>
                </pt>
                <pt idx="29">
                  <v>7.106986</v>
                </pt>
                <pt idx="30">
                  <v>6.88548</v>
                </pt>
                <pt idx="31">
                  <v>6.954537</v>
                </pt>
                <pt idx="32">
                  <v>7.294637</v>
                </pt>
                <pt idx="33">
                  <v>7.351388</v>
                </pt>
                <pt idx="34">
                  <v>7.516009</v>
                </pt>
                <pt idx="35">
                  <v>7.225979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Графики!$C$4</f>
              <strCache>
                <ptCount val="1"/>
                <pt idx="0">
                  <v>Pвых, Вт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02160867846"/>
          <y val="0.5638972441641478"/>
          <w val="0.3053467922093647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Графики!$K$5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Графики!$K$6:$K$41</f>
              <numCache>
                <formatCode>0.0</formatCode>
                <ptCount val="36"/>
                <pt idx="0">
                  <v>33.513217</v>
                </pt>
                <pt idx="1">
                  <v>34.938403</v>
                </pt>
                <pt idx="2">
                  <v>36.204166</v>
                </pt>
                <pt idx="3">
                  <v>36.624177</v>
                </pt>
                <pt idx="4">
                  <v>37.00573</v>
                </pt>
                <pt idx="5">
                  <v>37.236555</v>
                </pt>
                <pt idx="6">
                  <v>37.771552</v>
                </pt>
                <pt idx="7">
                  <v>37.939963</v>
                </pt>
                <pt idx="8">
                  <v>38.437696</v>
                </pt>
                <pt idx="9">
                  <v>39.122293</v>
                </pt>
                <pt idx="10">
                  <v>39.792282</v>
                </pt>
                <pt idx="11">
                  <v>40.269049</v>
                </pt>
                <pt idx="12">
                  <v>40.321244</v>
                </pt>
                <pt idx="13">
                  <v>40.564494</v>
                </pt>
                <pt idx="14">
                  <v>40.463489</v>
                </pt>
                <pt idx="15">
                  <v>40.779746</v>
                </pt>
                <pt idx="16">
                  <v>40.736565</v>
                </pt>
                <pt idx="17">
                  <v>40.161004</v>
                </pt>
                <pt idx="18">
                  <v>39.842827</v>
                </pt>
                <pt idx="19">
                  <v>39.314206</v>
                </pt>
                <pt idx="20">
                  <v>39.411911</v>
                </pt>
                <pt idx="21">
                  <v>39.750725</v>
                </pt>
                <pt idx="22">
                  <v>39.674391</v>
                </pt>
                <pt idx="23">
                  <v>39.62398</v>
                </pt>
                <pt idx="24">
                  <v>39.878219</v>
                </pt>
                <pt idx="25">
                  <v>39.913406</v>
                </pt>
                <pt idx="26">
                  <v>40.076007</v>
                </pt>
                <pt idx="27">
                  <v>40.025594</v>
                </pt>
                <pt idx="28">
                  <v>39.767722</v>
                </pt>
                <pt idx="29">
                  <v>40.115341</v>
                </pt>
                <pt idx="30">
                  <v>40.248235</v>
                </pt>
                <pt idx="31">
                  <v>40.295223</v>
                </pt>
                <pt idx="32">
                  <v>40.418698</v>
                </pt>
                <pt idx="33">
                  <v>40.561067</v>
                </pt>
                <pt idx="34">
                  <v>40.868761</v>
                </pt>
                <pt idx="35">
                  <v>41.052913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Графики!$M$6:$M$41</f>
              <numCache>
                <formatCode>0.0</formatCode>
                <ptCount val="36"/>
                <pt idx="0">
                  <v>39.405177</v>
                </pt>
                <pt idx="1">
                  <v>39.388719</v>
                </pt>
                <pt idx="2">
                  <v>39.290105</v>
                </pt>
                <pt idx="3">
                  <v>39.617169</v>
                </pt>
                <pt idx="4">
                  <v>39.812192</v>
                </pt>
                <pt idx="5">
                  <v>39.810115</v>
                </pt>
                <pt idx="6">
                  <v>39.734777</v>
                </pt>
                <pt idx="7">
                  <v>39.376859</v>
                </pt>
                <pt idx="8">
                  <v>39.430832</v>
                </pt>
                <pt idx="9">
                  <v>39.467568</v>
                </pt>
                <pt idx="10">
                  <v>39.471317</v>
                </pt>
                <pt idx="11">
                  <v>39.32506</v>
                </pt>
                <pt idx="12">
                  <v>39.246492</v>
                </pt>
                <pt idx="13">
                  <v>39.483974</v>
                </pt>
                <pt idx="14">
                  <v>39.527268</v>
                </pt>
                <pt idx="15">
                  <v>39.768632</v>
                </pt>
                <pt idx="16">
                  <v>39.973494</v>
                </pt>
                <pt idx="17">
                  <v>39.753927</v>
                </pt>
                <pt idx="18">
                  <v>39.985321</v>
                </pt>
                <pt idx="19">
                  <v>39.848417</v>
                </pt>
                <pt idx="20">
                  <v>39.692395</v>
                </pt>
                <pt idx="21">
                  <v>39.676834</v>
                </pt>
                <pt idx="22">
                  <v>39.720134</v>
                </pt>
                <pt idx="23">
                  <v>39.422832</v>
                </pt>
                <pt idx="24">
                  <v>39.131547</v>
                </pt>
                <pt idx="25">
                  <v>39.194617</v>
                </pt>
                <pt idx="26">
                  <v>38.951989</v>
                </pt>
                <pt idx="27">
                  <v>38.945632</v>
                </pt>
                <pt idx="28">
                  <v>38.84095</v>
                </pt>
                <pt idx="29">
                  <v>38.538733</v>
                </pt>
                <pt idx="30">
                  <v>38.37506</v>
                </pt>
                <pt idx="31">
                  <v>38.407622</v>
                </pt>
                <pt idx="32">
                  <v>38.652778</v>
                </pt>
                <pt idx="33">
                  <v>38.660772</v>
                </pt>
                <pt idx="34">
                  <v>38.801104</v>
                </pt>
                <pt idx="35">
                  <v>38.624474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Графики!$N$6:$N$41</f>
              <numCache>
                <formatCode>0.0</formatCode>
                <ptCount val="36"/>
                <pt idx="0">
                  <v>39.403787</v>
                </pt>
                <pt idx="1">
                  <v>39.366051</v>
                </pt>
                <pt idx="2">
                  <v>39.281242</v>
                </pt>
                <pt idx="3">
                  <v>39.614452</v>
                </pt>
                <pt idx="4">
                  <v>39.810296</v>
                </pt>
                <pt idx="5">
                  <v>39.822037</v>
                </pt>
                <pt idx="6">
                  <v>39.728233</v>
                </pt>
                <pt idx="7">
                  <v>39.371723</v>
                </pt>
                <pt idx="8">
                  <v>39.425093</v>
                </pt>
                <pt idx="9">
                  <v>39.453515</v>
                </pt>
                <pt idx="10">
                  <v>39.398613</v>
                </pt>
                <pt idx="11">
                  <v>39.343654</v>
                </pt>
                <pt idx="12">
                  <v>39.279644</v>
                </pt>
                <pt idx="13">
                  <v>39.494077</v>
                </pt>
                <pt idx="14">
                  <v>39.497816</v>
                </pt>
                <pt idx="15">
                  <v>39.709802</v>
                </pt>
                <pt idx="16">
                  <v>39.955724</v>
                </pt>
                <pt idx="17">
                  <v>39.75629</v>
                </pt>
                <pt idx="18">
                  <v>39.963506</v>
                </pt>
                <pt idx="19">
                  <v>39.83819</v>
                </pt>
                <pt idx="20">
                  <v>39.664417</v>
                </pt>
                <pt idx="21">
                  <v>39.646321</v>
                </pt>
                <pt idx="22">
                  <v>39.655293</v>
                </pt>
                <pt idx="23">
                  <v>39.216656</v>
                </pt>
                <pt idx="24">
                  <v>39.117832</v>
                </pt>
                <pt idx="25">
                  <v>39.11959</v>
                </pt>
                <pt idx="26">
                  <v>38.843219</v>
                </pt>
                <pt idx="27">
                  <v>38.862677</v>
                </pt>
                <pt idx="28">
                  <v>38.745545</v>
                </pt>
                <pt idx="29">
                  <v>38.415402</v>
                </pt>
                <pt idx="30">
                  <v>38.283171</v>
                </pt>
                <pt idx="31">
                  <v>38.347162</v>
                </pt>
                <pt idx="32">
                  <v>38.577378</v>
                </pt>
                <pt idx="33">
                  <v>38.630378</v>
                </pt>
                <pt idx="34">
                  <v>38.710549</v>
                </pt>
                <pt idx="35">
                  <v>38.538975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Графики!$O$6:$O$41</f>
              <numCache>
                <formatCode>0.0</formatCode>
                <ptCount val="36"/>
                <pt idx="0">
                  <v>39.425985</v>
                </pt>
                <pt idx="1">
                  <v>39.410167</v>
                </pt>
                <pt idx="2">
                  <v>39.335749</v>
                </pt>
                <pt idx="3">
                  <v>39.651158</v>
                </pt>
                <pt idx="4">
                  <v>39.827006</v>
                </pt>
                <pt idx="5">
                  <v>39.823472</v>
                </pt>
                <pt idx="6">
                  <v>39.743257</v>
                </pt>
                <pt idx="7">
                  <v>39.363374</v>
                </pt>
                <pt idx="8">
                  <v>39.388161</v>
                </pt>
                <pt idx="9">
                  <v>39.318432</v>
                </pt>
                <pt idx="10">
                  <v>39.274719</v>
                </pt>
                <pt idx="11">
                  <v>39.156263</v>
                </pt>
                <pt idx="12">
                  <v>39.220039</v>
                </pt>
                <pt idx="13">
                  <v>39.539638</v>
                </pt>
                <pt idx="14">
                  <v>39.584804</v>
                </pt>
                <pt idx="15">
                  <v>39.821496</v>
                </pt>
                <pt idx="16">
                  <v>40.050734</v>
                </pt>
                <pt idx="17">
                  <v>39.836662</v>
                </pt>
                <pt idx="18">
                  <v>40.070009</v>
                </pt>
                <pt idx="19">
                  <v>39.938453</v>
                </pt>
                <pt idx="20">
                  <v>39.760598</v>
                </pt>
                <pt idx="21">
                  <v>39.731451</v>
                </pt>
                <pt idx="22">
                  <v>39.740752</v>
                </pt>
                <pt idx="23">
                  <v>39.439609</v>
                </pt>
                <pt idx="24">
                  <v>39.154897</v>
                </pt>
                <pt idx="25">
                  <v>39.212689</v>
                </pt>
                <pt idx="26">
                  <v>38.988747</v>
                </pt>
                <pt idx="27">
                  <v>39.000352</v>
                </pt>
                <pt idx="28">
                  <v>38.868466</v>
                </pt>
                <pt idx="29">
                  <v>38.575284</v>
                </pt>
                <pt idx="30">
                  <v>38.442762</v>
                </pt>
                <pt idx="31">
                  <v>38.461678</v>
                </pt>
                <pt idx="32">
                  <v>38.699565</v>
                </pt>
                <pt idx="33">
                  <v>38.779699</v>
                </pt>
                <pt idx="34">
                  <v>38.840171</v>
                </pt>
                <pt idx="35">
                  <v>38.673603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Графики!$P$6:$P$41</f>
              <numCache>
                <formatCode>0.0</formatCode>
                <ptCount val="36"/>
                <pt idx="0">
                  <v>39.412809</v>
                </pt>
                <pt idx="1">
                  <v>39.370991</v>
                </pt>
                <pt idx="2">
                  <v>39.289434</v>
                </pt>
                <pt idx="3">
                  <v>39.622856</v>
                </pt>
                <pt idx="4">
                  <v>39.831936</v>
                </pt>
                <pt idx="5">
                  <v>39.870154</v>
                </pt>
                <pt idx="6">
                  <v>39.763154</v>
                </pt>
                <pt idx="7">
                  <v>39.452258</v>
                </pt>
                <pt idx="8">
                  <v>39.537249</v>
                </pt>
                <pt idx="9">
                  <v>39.609636</v>
                </pt>
                <pt idx="10">
                  <v>39.628758</v>
                </pt>
                <pt idx="11">
                  <v>39.636651</v>
                </pt>
                <pt idx="12">
                  <v>39.505603</v>
                </pt>
                <pt idx="13">
                  <v>39.617169</v>
                </pt>
                <pt idx="14">
                  <v>39.551486</v>
                </pt>
                <pt idx="15">
                  <v>39.779205</v>
                </pt>
                <pt idx="16">
                  <v>39.98477</v>
                </pt>
                <pt idx="17">
                  <v>39.759803</v>
                </pt>
                <pt idx="18">
                  <v>40.002271</v>
                </pt>
                <pt idx="19">
                  <v>39.883179</v>
                </pt>
                <pt idx="20">
                  <v>39.720194</v>
                </pt>
                <pt idx="21">
                  <v>39.702694</v>
                </pt>
                <pt idx="22">
                  <v>39.69521</v>
                </pt>
                <pt idx="23">
                  <v>39.384078</v>
                </pt>
                <pt idx="24">
                  <v>39.141204</v>
                </pt>
                <pt idx="25">
                  <v>39.171373</v>
                </pt>
                <pt idx="26">
                  <v>38.934078</v>
                </pt>
                <pt idx="27">
                  <v>39.000764</v>
                </pt>
                <pt idx="28">
                  <v>38.767864</v>
                </pt>
                <pt idx="29">
                  <v>38.527498</v>
                </pt>
                <pt idx="30">
                  <v>38.418197</v>
                </pt>
                <pt idx="31">
                  <v>38.456708</v>
                </pt>
                <pt idx="32">
                  <v>38.665943</v>
                </pt>
                <pt idx="33">
                  <v>38.72848</v>
                </pt>
                <pt idx="34">
                  <v>38.779956</v>
                </pt>
                <pt idx="35">
                  <v>38.610335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Графики!$Q$6:$Q$41</f>
              <numCache>
                <formatCode>0.0</formatCode>
                <ptCount val="36"/>
                <pt idx="0">
                  <v>38.660932</v>
                </pt>
                <pt idx="1">
                  <v>38.654916</v>
                </pt>
                <pt idx="2">
                  <v>38.542113</v>
                </pt>
                <pt idx="3">
                  <v>38.685709</v>
                </pt>
                <pt idx="4">
                  <v>38.794574</v>
                </pt>
                <pt idx="5">
                  <v>38.710357</v>
                </pt>
                <pt idx="6">
                  <v>38.640682</v>
                </pt>
                <pt idx="7">
                  <v>38.248979</v>
                </pt>
                <pt idx="8">
                  <v>38.144515</v>
                </pt>
                <pt idx="9">
                  <v>38.081949</v>
                </pt>
                <pt idx="10">
                  <v>38.164488</v>
                </pt>
                <pt idx="11">
                  <v>38.144612</v>
                </pt>
                <pt idx="12">
                  <v>37.919378</v>
                </pt>
                <pt idx="13">
                  <v>37.662287</v>
                </pt>
                <pt idx="14">
                  <v>37.07023</v>
                </pt>
                <pt idx="15">
                  <v>36.866874</v>
                </pt>
                <pt idx="16">
                  <v>36.954358</v>
                </pt>
                <pt idx="17">
                  <v>36.415461</v>
                </pt>
                <pt idx="18">
                  <v>36.086652</v>
                </pt>
                <pt idx="19">
                  <v>35.715827</v>
                </pt>
                <pt idx="20">
                  <v>35.465529</v>
                </pt>
                <pt idx="21">
                  <v>35.651764</v>
                </pt>
                <pt idx="22">
                  <v>35.45356</v>
                </pt>
                <pt idx="23">
                  <v>34.924516</v>
                </pt>
                <pt idx="24">
                  <v>34.817974</v>
                </pt>
                <pt idx="25">
                  <v>34.611343</v>
                </pt>
                <pt idx="26">
                  <v>34.71964</v>
                </pt>
                <pt idx="27">
                  <v>34.838521</v>
                </pt>
                <pt idx="28">
                  <v>34.315014</v>
                </pt>
                <pt idx="29">
                  <v>34.459086</v>
                </pt>
                <pt idx="30">
                  <v>34.482545</v>
                </pt>
                <pt idx="31">
                  <v>34.24294</v>
                </pt>
                <pt idx="32">
                  <v>34.010592</v>
                </pt>
                <pt idx="33">
                  <v>33.960822</v>
                </pt>
                <pt idx="34">
                  <v>33.553986</v>
                </pt>
                <pt idx="35">
                  <v>33.397351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Графики!$R$6:$R$41</f>
              <numCache>
                <formatCode>0.0</formatCode>
                <ptCount val="36"/>
                <pt idx="0">
                  <v>39.424559</v>
                </pt>
                <pt idx="1">
                  <v>39.405203</v>
                </pt>
                <pt idx="2">
                  <v>39.326644</v>
                </pt>
                <pt idx="3">
                  <v>39.63671</v>
                </pt>
                <pt idx="4">
                  <v>39.818646</v>
                </pt>
                <pt idx="5">
                  <v>39.804254</v>
                </pt>
                <pt idx="6">
                  <v>39.73138</v>
                </pt>
                <pt idx="7">
                  <v>39.354741</v>
                </pt>
                <pt idx="8">
                  <v>39.388197</v>
                </pt>
                <pt idx="9">
                  <v>39.378244</v>
                </pt>
                <pt idx="10">
                  <v>39.348831</v>
                </pt>
                <pt idx="11">
                  <v>39.19826</v>
                </pt>
                <pt idx="12">
                  <v>39.192436</v>
                </pt>
                <pt idx="13">
                  <v>39.493936</v>
                </pt>
                <pt idx="14">
                  <v>39.542504</v>
                </pt>
                <pt idx="15">
                  <v>39.760335</v>
                </pt>
                <pt idx="16">
                  <v>39.978714</v>
                </pt>
                <pt idx="17">
                  <v>39.745343</v>
                </pt>
                <pt idx="18">
                  <v>40.002204</v>
                </pt>
                <pt idx="19">
                  <v>39.848636</v>
                </pt>
                <pt idx="20">
                  <v>39.69251</v>
                </pt>
                <pt idx="21">
                  <v>39.676819</v>
                </pt>
                <pt idx="22">
                  <v>39.716545</v>
                </pt>
                <pt idx="23">
                  <v>39.442092</v>
                </pt>
                <pt idx="24">
                  <v>39.116472</v>
                </pt>
                <pt idx="25">
                  <v>39.13491</v>
                </pt>
                <pt idx="26">
                  <v>38.898478</v>
                </pt>
                <pt idx="27">
                  <v>38.908581</v>
                </pt>
                <pt idx="28">
                  <v>38.804912</v>
                </pt>
                <pt idx="29">
                  <v>38.492509</v>
                </pt>
                <pt idx="30">
                  <v>38.338713</v>
                </pt>
                <pt idx="31">
                  <v>38.343316</v>
                </pt>
                <pt idx="32">
                  <v>38.606446</v>
                </pt>
                <pt idx="33">
                  <v>38.621993</v>
                </pt>
                <pt idx="34">
                  <v>38.758804</v>
                </pt>
                <pt idx="35">
                  <v>38.586855</v>
                </pt>
              </numCache>
            </numRef>
          </yVal>
          <smooth val="1"/>
        </ser>
        <ser>
          <idx val="12"/>
          <order val="7"/>
          <tx>
            <strRef>
              <f>Графики!$L$5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Графики!$L$6:$L$41</f>
              <numCache>
                <formatCode>0.0</formatCode>
                <ptCount val="36"/>
                <pt idx="0">
                  <v>39.382375</v>
                </pt>
                <pt idx="1">
                  <v>39.366771</v>
                </pt>
                <pt idx="2">
                  <v>39.289049</v>
                </pt>
                <pt idx="3">
                  <v>39.619725</v>
                </pt>
                <pt idx="4">
                  <v>39.806788</v>
                </pt>
                <pt idx="5">
                  <v>39.812635</v>
                </pt>
                <pt idx="6">
                  <v>39.725522</v>
                </pt>
                <pt idx="7">
                  <v>39.374186</v>
                </pt>
                <pt idx="8">
                  <v>39.423717</v>
                </pt>
                <pt idx="9">
                  <v>39.418516</v>
                </pt>
                <pt idx="10">
                  <v>39.348883</v>
                </pt>
                <pt idx="11">
                  <v>39.248171</v>
                </pt>
                <pt idx="12">
                  <v>39.241689</v>
                </pt>
                <pt idx="13">
                  <v>39.514903</v>
                </pt>
                <pt idx="14">
                  <v>39.565972</v>
                </pt>
                <pt idx="15">
                  <v>39.786982</v>
                </pt>
                <pt idx="16">
                  <v>40.005346</v>
                </pt>
                <pt idx="17">
                  <v>39.821392</v>
                </pt>
                <pt idx="18">
                  <v>40.023848</v>
                </pt>
                <pt idx="19">
                  <v>39.888355</v>
                </pt>
                <pt idx="20">
                  <v>39.711281</v>
                </pt>
                <pt idx="21">
                  <v>39.67729</v>
                </pt>
                <pt idx="22">
                  <v>39.680582</v>
                </pt>
                <pt idx="23">
                  <v>39.271359</v>
                </pt>
                <pt idx="24">
                  <v>39.118224</v>
                </pt>
                <pt idx="25">
                  <v>39.160229</v>
                </pt>
                <pt idx="26">
                  <v>38.924949</v>
                </pt>
                <pt idx="27">
                  <v>38.926094</v>
                </pt>
                <pt idx="28">
                  <v>38.81021</v>
                </pt>
                <pt idx="29">
                  <v>38.516855</v>
                </pt>
                <pt idx="30">
                  <v>38.379342</v>
                </pt>
                <pt idx="31">
                  <v>38.422682</v>
                </pt>
                <pt idx="32">
                  <v>38.630037</v>
                </pt>
                <pt idx="33">
                  <v>38.663693</v>
                </pt>
                <pt idx="34">
                  <v>38.759873</v>
                </pt>
                <pt idx="35">
                  <v>38.588967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Графики!$K$4</f>
              <strCache>
                <ptCount val="1"/>
                <pt idx="0">
                  <v>Pвых, дБм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93992832474"/>
          <y val="0.5462500382124539"/>
          <w val="0.3140590008605879"/>
          <h val="0.213241240547628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Графики!$S$5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Графики!$S$6:$S$41</f>
              <numCache>
                <formatCode>0.0</formatCode>
                <ptCount val="36"/>
                <pt idx="0">
                  <v>0.140955</v>
                </pt>
                <pt idx="1">
                  <v>0.12731</v>
                </pt>
                <pt idx="2">
                  <v>0.114457</v>
                </pt>
                <pt idx="3">
                  <v>0.110013</v>
                </pt>
                <pt idx="4">
                  <v>0.105518</v>
                </pt>
                <pt idx="5">
                  <v>0.103911</v>
                </pt>
                <pt idx="6">
                  <v>0.104119</v>
                </pt>
                <pt idx="7">
                  <v>0.105259</v>
                </pt>
                <pt idx="8">
                  <v>0.110634</v>
                </pt>
                <pt idx="9">
                  <v>0.119502</v>
                </pt>
                <pt idx="10">
                  <v>0.127644</v>
                </pt>
                <pt idx="11">
                  <v>0.131258</v>
                </pt>
                <pt idx="12">
                  <v>0.134406</v>
                </pt>
                <pt idx="13">
                  <v>0.137478</v>
                </pt>
                <pt idx="14">
                  <v>0.140542</v>
                </pt>
                <pt idx="15">
                  <v>0.14484</v>
                </pt>
                <pt idx="16">
                  <v>0.141091</v>
                </pt>
                <pt idx="17">
                  <v>0.136476</v>
                </pt>
                <pt idx="18">
                  <v>0.133093</v>
                </pt>
                <pt idx="19">
                  <v>0.130008</v>
                </pt>
                <pt idx="20">
                  <v>0.13078</v>
                </pt>
                <pt idx="21">
                  <v>0.132299</v>
                </pt>
                <pt idx="22">
                  <v>0.131728</v>
                </pt>
                <pt idx="23">
                  <v>0.132997</v>
                </pt>
                <pt idx="24">
                  <v>0.135577</v>
                </pt>
                <pt idx="25">
                  <v>0.136461</v>
                </pt>
                <pt idx="26">
                  <v>0.140094</v>
                </pt>
                <pt idx="27">
                  <v>0.145107</v>
                </pt>
                <pt idx="28">
                  <v>0.144987</v>
                </pt>
                <pt idx="29">
                  <v>0.146148</v>
                </pt>
                <pt idx="30">
                  <v>0.148877</v>
                </pt>
                <pt idx="31">
                  <v>0.151449</v>
                </pt>
                <pt idx="32">
                  <v>0.153032</v>
                </pt>
                <pt idx="33">
                  <v>0.15787</v>
                </pt>
                <pt idx="34">
                  <v>0.166843</v>
                </pt>
                <pt idx="35">
                  <v>0.172913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Графики!$U$6:$U$41</f>
              <numCache>
                <formatCode>0.0</formatCode>
                <ptCount val="36"/>
                <pt idx="0">
                  <v>0.519489</v>
                </pt>
                <pt idx="1">
                  <v>0.493501</v>
                </pt>
                <pt idx="2">
                  <v>0.497181</v>
                </pt>
                <pt idx="3">
                  <v>0.536311</v>
                </pt>
                <pt idx="4">
                  <v>0.548018</v>
                </pt>
                <pt idx="5">
                  <v>0.570779</v>
                </pt>
                <pt idx="6">
                  <v>0.568346</v>
                </pt>
                <pt idx="7">
                  <v>0.586651</v>
                </pt>
                <pt idx="8">
                  <v>0.626152</v>
                </pt>
                <pt idx="9">
                  <v>0.640861</v>
                </pt>
                <pt idx="10">
                  <v>0.65585</v>
                </pt>
                <pt idx="11">
                  <v>0.669135</v>
                </pt>
                <pt idx="12">
                  <v>0.662736</v>
                </pt>
                <pt idx="13">
                  <v>0.650119</v>
                </pt>
                <pt idx="14">
                  <v>0.612504</v>
                </pt>
                <pt idx="15">
                  <v>0.612467</v>
                </pt>
                <pt idx="16">
                  <v>0.614829</v>
                </pt>
                <pt idx="17">
                  <v>0.598611</v>
                </pt>
                <pt idx="18">
                  <v>0.649516</v>
                </pt>
                <pt idx="19">
                  <v>0.650666</v>
                </pt>
                <pt idx="20">
                  <v>0.651286</v>
                </pt>
                <pt idx="21">
                  <v>0.652828</v>
                </pt>
                <pt idx="22">
                  <v>0.678716</v>
                </pt>
                <pt idx="23">
                  <v>0.69106</v>
                </pt>
                <pt idx="24">
                  <v>0.703014</v>
                </pt>
                <pt idx="25">
                  <v>0.708157</v>
                </pt>
                <pt idx="26">
                  <v>0.7274</v>
                </pt>
                <pt idx="27">
                  <v>0.74642</v>
                </pt>
                <pt idx="28">
                  <v>0.738526</v>
                </pt>
                <pt idx="29">
                  <v>0.750521</v>
                </pt>
                <pt idx="30">
                  <v>0.769407</v>
                </pt>
                <pt idx="31">
                  <v>0.769151</v>
                </pt>
                <pt idx="32">
                  <v>0.765359</v>
                </pt>
                <pt idx="33">
                  <v>0.775466</v>
                </pt>
                <pt idx="34">
                  <v>0.766245</v>
                </pt>
                <pt idx="35">
                  <v>0.763983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Графики!$V$6:$V$41</f>
              <numCache>
                <formatCode>0.0</formatCode>
                <ptCount val="36"/>
                <pt idx="0">
                  <v>0.520844</v>
                </pt>
                <pt idx="1">
                  <v>0.493991</v>
                </pt>
                <pt idx="2">
                  <v>0.500846</v>
                </pt>
                <pt idx="3">
                  <v>0.540564</v>
                </pt>
                <pt idx="4">
                  <v>0.553238</v>
                </pt>
                <pt idx="5">
                  <v>0.577703</v>
                </pt>
                <pt idx="6">
                  <v>0.5766520000000001</v>
                </pt>
                <pt idx="7">
                  <v>0.595596</v>
                </pt>
                <pt idx="8">
                  <v>0.636346</v>
                </pt>
                <pt idx="9">
                  <v>0.649537</v>
                </pt>
                <pt idx="10">
                  <v>0.661265</v>
                </pt>
                <pt idx="11">
                  <v>0.677252</v>
                </pt>
                <pt idx="12">
                  <v>0.6696260000000001</v>
                </pt>
                <pt idx="13">
                  <v>0.650575</v>
                </pt>
                <pt idx="14">
                  <v>0.60826</v>
                </pt>
                <pt idx="15">
                  <v>0.6073499999999999</v>
                </pt>
                <pt idx="16">
                  <v>0.6153960000000001</v>
                </pt>
                <pt idx="17">
                  <v>0.60609</v>
                </pt>
                <pt idx="18">
                  <v>0.65177</v>
                </pt>
                <pt idx="19">
                  <v>0.660292</v>
                </pt>
                <pt idx="20">
                  <v>0.660155</v>
                </pt>
                <pt idx="21">
                  <v>0.662592</v>
                </pt>
                <pt idx="22">
                  <v>0.688819</v>
                </pt>
                <pt idx="23">
                  <v>0.703971</v>
                </pt>
                <pt idx="24">
                  <v>0.716099</v>
                </pt>
                <pt idx="25">
                  <v>0.718515</v>
                </pt>
                <pt idx="26">
                  <v>0.738077</v>
                </pt>
                <pt idx="27">
                  <v>0.760561</v>
                </pt>
                <pt idx="28">
                  <v>0.752757</v>
                </pt>
                <pt idx="29">
                  <v>0.763862</v>
                </pt>
                <pt idx="30">
                  <v>0.7837499999999999</v>
                </pt>
                <pt idx="31">
                  <v>0.787585</v>
                </pt>
                <pt idx="32">
                  <v>0.782539</v>
                </pt>
                <pt idx="33">
                  <v>0.787294</v>
                </pt>
                <pt idx="34">
                  <v>0.7706769999999999</v>
                </pt>
                <pt idx="35">
                  <v>0.7751169999999999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Графики!$W$6:$W$41</f>
              <numCache>
                <formatCode>0.0</formatCode>
                <ptCount val="36"/>
                <pt idx="0">
                  <v>0.523108</v>
                </pt>
                <pt idx="1">
                  <v>0.496371</v>
                </pt>
                <pt idx="2">
                  <v>0.502701</v>
                </pt>
                <pt idx="3">
                  <v>0.53979</v>
                </pt>
                <pt idx="4">
                  <v>0.549689</v>
                </pt>
                <pt idx="5">
                  <v>0.5725170000000001</v>
                </pt>
                <pt idx="6">
                  <v>0.571197</v>
                </pt>
                <pt idx="7">
                  <v>0.587875</v>
                </pt>
                <pt idx="8">
                  <v>0.627261</v>
                </pt>
                <pt idx="9">
                  <v>0.638298</v>
                </pt>
                <pt idx="10">
                  <v>0.659344</v>
                </pt>
                <pt idx="11">
                  <v>0.680548</v>
                </pt>
                <pt idx="12">
                  <v>0.668506</v>
                </pt>
                <pt idx="13">
                  <v>0.6490860000000001</v>
                </pt>
                <pt idx="14">
                  <v>0.611028</v>
                </pt>
                <pt idx="15">
                  <v>0.614694</v>
                </pt>
                <pt idx="16">
                  <v>0.622039</v>
                </pt>
                <pt idx="17">
                  <v>0.61003</v>
                </pt>
                <pt idx="18">
                  <v>0.658034</v>
                </pt>
                <pt idx="19">
                  <v>0.6613599999999999</v>
                </pt>
                <pt idx="20">
                  <v>0.659385</v>
                </pt>
                <pt idx="21">
                  <v>0.6588000000000001</v>
                </pt>
                <pt idx="22">
                  <v>0.682569</v>
                </pt>
                <pt idx="23">
                  <v>0.697059</v>
                </pt>
                <pt idx="24">
                  <v>0.712819</v>
                </pt>
                <pt idx="25">
                  <v>0.711946</v>
                </pt>
                <pt idx="26">
                  <v>0.734216</v>
                </pt>
                <pt idx="27">
                  <v>0.75504</v>
                </pt>
                <pt idx="28">
                  <v>0.746677</v>
                </pt>
                <pt idx="29">
                  <v>0.757677</v>
                </pt>
                <pt idx="30">
                  <v>0.777452</v>
                </pt>
                <pt idx="31">
                  <v>0.777901</v>
                </pt>
                <pt idx="32">
                  <v>0.772544</v>
                </pt>
                <pt idx="33">
                  <v>0.77929</v>
                </pt>
                <pt idx="34">
                  <v>0.761113</v>
                </pt>
                <pt idx="35">
                  <v>0.76415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Графики!$X$6:$X$41</f>
              <numCache>
                <formatCode>0.0</formatCode>
                <ptCount val="36"/>
                <pt idx="0">
                  <v>0.520714</v>
                </pt>
                <pt idx="1">
                  <v>0.493037</v>
                </pt>
                <pt idx="2">
                  <v>0.499643</v>
                </pt>
                <pt idx="3">
                  <v>0.539005</v>
                </pt>
                <pt idx="4">
                  <v>0.554466</v>
                </pt>
                <pt idx="5">
                  <v>0.581568</v>
                </pt>
                <pt idx="6">
                  <v>0.580365</v>
                </pt>
                <pt idx="7">
                  <v>0.599819</v>
                </pt>
                <pt idx="8">
                  <v>0.63931</v>
                </pt>
                <pt idx="9">
                  <v>0.651847</v>
                </pt>
                <pt idx="10">
                  <v>0.676256</v>
                </pt>
                <pt idx="11">
                  <v>0.682018</v>
                </pt>
                <pt idx="12">
                  <v>0.676422</v>
                </pt>
                <pt idx="13">
                  <v>0.664893</v>
                </pt>
                <pt idx="14">
                  <v>0.625746</v>
                </pt>
                <pt idx="15">
                  <v>0.6209170000000001</v>
                </pt>
                <pt idx="16">
                  <v>0.622223</v>
                </pt>
                <pt idx="17">
                  <v>0.605758</v>
                </pt>
                <pt idx="18">
                  <v>0.648786</v>
                </pt>
                <pt idx="19">
                  <v>0.65633</v>
                </pt>
                <pt idx="20">
                  <v>0.656431</v>
                </pt>
                <pt idx="21">
                  <v>0.656395</v>
                </pt>
                <pt idx="22">
                  <v>0.68218</v>
                </pt>
                <pt idx="23">
                  <v>0.699884</v>
                </pt>
                <pt idx="24">
                  <v>0.710506</v>
                </pt>
                <pt idx="25">
                  <v>0.712582</v>
                </pt>
                <pt idx="26">
                  <v>0.735704</v>
                </pt>
                <pt idx="27">
                  <v>0.761741</v>
                </pt>
                <pt idx="28">
                  <v>0.743707</v>
                </pt>
                <pt idx="29">
                  <v>0.762181</v>
                </pt>
                <pt idx="30">
                  <v>0.781769</v>
                </pt>
                <pt idx="31">
                  <v>0.782192</v>
                </pt>
                <pt idx="32">
                  <v>0.776875</v>
                </pt>
                <pt idx="33">
                  <v>0.78191</v>
                </pt>
                <pt idx="34">
                  <v>0.762473</v>
                </pt>
                <pt idx="35">
                  <v>0.766352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Графики!$Y$6:$Y$41</f>
              <numCache>
                <formatCode>0.0</formatCode>
                <ptCount val="36"/>
                <pt idx="0">
                  <v>0.48121</v>
                </pt>
                <pt idx="1">
                  <v>0.46146</v>
                </pt>
                <pt idx="2">
                  <v>0.460718</v>
                </pt>
                <pt idx="3">
                  <v>0.483689</v>
                </pt>
                <pt idx="4">
                  <v>0.49574</v>
                </pt>
                <pt idx="5">
                  <v>0.517308</v>
                </pt>
                <pt idx="6">
                  <v>0.508761</v>
                </pt>
                <pt idx="7">
                  <v>0.516396</v>
                </pt>
                <pt idx="8">
                  <v>0.543609</v>
                </pt>
                <pt idx="9">
                  <v>0.5595250000000001</v>
                </pt>
                <pt idx="10">
                  <v>0.571702</v>
                </pt>
                <pt idx="11">
                  <v>0.567877</v>
                </pt>
                <pt idx="12">
                  <v>0.575034</v>
                </pt>
                <pt idx="13">
                  <v>0.573688</v>
                </pt>
                <pt idx="14">
                  <v>0.563978</v>
                </pt>
                <pt idx="15">
                  <v>0.5573939999999999</v>
                </pt>
                <pt idx="16">
                  <v>0.5383</v>
                </pt>
                <pt idx="17">
                  <v>0.52938</v>
                </pt>
                <pt idx="18">
                  <v>0.555001</v>
                </pt>
                <pt idx="19">
                  <v>0.558369</v>
                </pt>
                <pt idx="20">
                  <v>0.557038</v>
                </pt>
                <pt idx="21">
                  <v>0.549096</v>
                </pt>
                <pt idx="22">
                  <v>0.557885</v>
                </pt>
                <pt idx="23">
                  <v>0.566459</v>
                </pt>
                <pt idx="24">
                  <v>0.572897</v>
                </pt>
                <pt idx="25">
                  <v>0.576</v>
                </pt>
                <pt idx="26">
                  <v>0.586429</v>
                </pt>
                <pt idx="27">
                  <v>0.591439</v>
                </pt>
                <pt idx="28">
                  <v>0.587777</v>
                </pt>
                <pt idx="29">
                  <v>0.5946050000000001</v>
                </pt>
                <pt idx="30">
                  <v>0.599317</v>
                </pt>
                <pt idx="31">
                  <v>0.598496</v>
                </pt>
                <pt idx="32">
                  <v>0.604231</v>
                </pt>
                <pt idx="33">
                  <v>0.607717</v>
                </pt>
                <pt idx="34">
                  <v>0.5996</v>
                </pt>
                <pt idx="35">
                  <v>0.595024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Графики!$Z$6:$Z$41</f>
              <numCache>
                <formatCode>0.0</formatCode>
                <ptCount val="36"/>
                <pt idx="0">
                  <v>0.521169</v>
                </pt>
                <pt idx="1">
                  <v>0.494838</v>
                </pt>
                <pt idx="2">
                  <v>0.499589</v>
                </pt>
                <pt idx="3">
                  <v>0.536905</v>
                </pt>
                <pt idx="4">
                  <v>0.546914</v>
                </pt>
                <pt idx="5">
                  <v>0.568816</v>
                </pt>
                <pt idx="6">
                  <v>0.5662740000000001</v>
                </pt>
                <pt idx="7">
                  <v>0.583885</v>
                </pt>
                <pt idx="8">
                  <v>0.623356</v>
                </pt>
                <pt idx="9">
                  <v>0.6378819999999999</v>
                </pt>
                <pt idx="10">
                  <v>0.654345</v>
                </pt>
                <pt idx="11">
                  <v>0.672064</v>
                </pt>
                <pt idx="12">
                  <v>0.662391</v>
                </pt>
                <pt idx="13">
                  <v>0.646353</v>
                </pt>
                <pt idx="14">
                  <v>0.607999</v>
                </pt>
                <pt idx="15">
                  <v>0.607968</v>
                </pt>
                <pt idx="16">
                  <v>0.612259</v>
                </pt>
                <pt idx="17">
                  <v>0.596306</v>
                </pt>
                <pt idx="18">
                  <v>0.651232</v>
                </pt>
                <pt idx="19">
                  <v>0.649635</v>
                </pt>
                <pt idx="20">
                  <v>0.650433</v>
                </pt>
                <pt idx="21">
                  <v>0.651623</v>
                </pt>
                <pt idx="22">
                  <v>0.677558</v>
                </pt>
                <pt idx="23">
                  <v>0.687141</v>
                </pt>
                <pt idx="24">
                  <v>0.708081</v>
                </pt>
                <pt idx="25">
                  <v>0.704626</v>
                </pt>
                <pt idx="26">
                  <v>0.721857</v>
                </pt>
                <pt idx="27">
                  <v>0.741818</v>
                </pt>
                <pt idx="28">
                  <v>0.733328</v>
                </pt>
                <pt idx="29">
                  <v>0.745491</v>
                </pt>
                <pt idx="30">
                  <v>0.765479</v>
                </pt>
                <pt idx="31">
                  <v>0.766055</v>
                </pt>
                <pt idx="32">
                  <v>0.763494</v>
                </pt>
                <pt idx="33">
                  <v>0.775352</v>
                </pt>
                <pt idx="34">
                  <v>0.76527</v>
                </pt>
                <pt idx="35">
                  <v>0.764148</v>
                </pt>
              </numCache>
            </numRef>
          </yVal>
          <smooth val="1"/>
        </ser>
        <ser>
          <idx val="12"/>
          <order val="7"/>
          <tx>
            <strRef>
              <f>Графики!$T$5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Графики!$T$6:$T$41</f>
              <numCache>
                <formatCode>0.0</formatCode>
                <ptCount val="36"/>
                <pt idx="0">
                  <v>0.517985</v>
                </pt>
                <pt idx="1">
                  <v>0.493286</v>
                </pt>
                <pt idx="2">
                  <v>0.499063</v>
                </pt>
                <pt idx="3">
                  <v>0.538351</v>
                </pt>
                <pt idx="4">
                  <v>0.5497649999999999</v>
                </pt>
                <pt idx="5">
                  <v>0.5733740000000001</v>
                </pt>
                <pt idx="6">
                  <v>0.572431</v>
                </pt>
                <pt idx="7">
                  <v>0.591105</v>
                </pt>
                <pt idx="8">
                  <v>0.6304419999999999</v>
                </pt>
                <pt idx="9">
                  <v>0.643107</v>
                </pt>
                <pt idx="10">
                  <v>0.655046</v>
                </pt>
                <pt idx="11">
                  <v>0.674156</v>
                </pt>
                <pt idx="12">
                  <v>0.666402</v>
                </pt>
                <pt idx="13">
                  <v>0.648678</v>
                </pt>
                <pt idx="14">
                  <v>0.609496</v>
                </pt>
                <pt idx="15">
                  <v>0.611442</v>
                </pt>
                <pt idx="16">
                  <v>0.61895</v>
                </pt>
                <pt idx="17">
                  <v>0.6087089999999999</v>
                </pt>
                <pt idx="18">
                  <v>0.651608</v>
                </pt>
                <pt idx="19">
                  <v>0.658211</v>
                </pt>
                <pt idx="20">
                  <v>0.657738</v>
                </pt>
                <pt idx="21">
                  <v>0.65862</v>
                </pt>
                <pt idx="22">
                  <v>0.683783</v>
                </pt>
                <pt idx="23">
                  <v>0.70134</v>
                </pt>
                <pt idx="24">
                  <v>0.708811</v>
                </pt>
                <pt idx="25">
                  <v>0.711701</v>
                </pt>
                <pt idx="26">
                  <v>0.733935</v>
                </pt>
                <pt idx="27">
                  <v>0.753847</v>
                </pt>
                <pt idx="28">
                  <v>0.746496</v>
                </pt>
                <pt idx="29">
                  <v>0.758794</v>
                </pt>
                <pt idx="30">
                  <v>0.777092</v>
                </pt>
                <pt idx="31">
                  <v>0.777909</v>
                </pt>
                <pt idx="32">
                  <v>0.771674</v>
                </pt>
                <pt idx="33">
                  <v>0.779159</v>
                </pt>
                <pt idx="34">
                  <v>0.761314</v>
                </pt>
                <pt idx="35">
                  <v>0.763505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Графики!$S$4</f>
              <strCache>
                <ptCount val="1"/>
                <pt idx="0">
                  <v>Id, 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.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0.1"/>
        <minorUnit val="0.1"/>
      </valAx>
    </plotArea>
    <legend>
      <legendPos val="r"/>
      <layout>
        <manualLayout>
          <xMode val="edge"/>
          <yMode val="edge"/>
          <wMode val="factor"/>
          <hMode val="factor"/>
          <x val="0.3311733458551324"/>
          <y val="0.6050740580514334"/>
          <w val="0.3362067843716591"/>
          <h val="0.201476436579832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0"/>
          <order val="0"/>
          <tx>
            <strRef>
              <f>Графики!$AA$5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Графики!$AA$6:$AA$41</f>
              <numCache>
                <formatCode>0.0</formatCode>
                <ptCount val="36"/>
                <pt idx="0">
                  <v>4.9e-05</v>
                </pt>
                <pt idx="1">
                  <v>-0.000213</v>
                </pt>
                <pt idx="2">
                  <v>1.8e-05</v>
                </pt>
                <pt idx="3">
                  <v>-0.000388</v>
                </pt>
                <pt idx="4">
                  <v>-0.000408</v>
                </pt>
                <pt idx="5">
                  <v>0.000224</v>
                </pt>
                <pt idx="6">
                  <v>-3.9e-05</v>
                </pt>
                <pt idx="7">
                  <v>3.5e-05</v>
                </pt>
                <pt idx="8">
                  <v>-0.00016</v>
                </pt>
                <pt idx="9">
                  <v>-0.000218</v>
                </pt>
                <pt idx="10">
                  <v>-1.3e-05</v>
                </pt>
                <pt idx="11">
                  <v>0.000121</v>
                </pt>
                <pt idx="12">
                  <v>0.000146</v>
                </pt>
                <pt idx="13">
                  <v>2.6e-05</v>
                </pt>
                <pt idx="14">
                  <v>-0.000246</v>
                </pt>
                <pt idx="15">
                  <v>-0.000275</v>
                </pt>
                <pt idx="16">
                  <v>-0.000291</v>
                </pt>
                <pt idx="17">
                  <v>2.5e-05</v>
                </pt>
                <pt idx="18">
                  <v>-7.6e-05</v>
                </pt>
                <pt idx="19">
                  <v>0.000285</v>
                </pt>
                <pt idx="20">
                  <v>-0.000195</v>
                </pt>
                <pt idx="21">
                  <v>-0.000355</v>
                </pt>
                <pt idx="22">
                  <v>6.999999999999999e-05</v>
                </pt>
                <pt idx="23">
                  <v>-0.000677</v>
                </pt>
                <pt idx="24">
                  <v>-0.000181</v>
                </pt>
                <pt idx="25">
                  <v>-0.000347</v>
                </pt>
                <pt idx="26">
                  <v>-8.3e-05</v>
                </pt>
                <pt idx="27">
                  <v>-0.000291</v>
                </pt>
                <pt idx="28">
                  <v>-0.000242</v>
                </pt>
                <pt idx="29">
                  <v>-0.00029</v>
                </pt>
                <pt idx="30">
                  <v>-0.000325</v>
                </pt>
                <pt idx="31">
                  <v>-0.000174</v>
                </pt>
                <pt idx="32">
                  <v>-6.4e-05</v>
                </pt>
                <pt idx="33">
                  <v>-0.000523</v>
                </pt>
                <pt idx="34">
                  <v>-0.000403</v>
                </pt>
                <pt idx="35">
                  <v>-0.000456</v>
                </pt>
              </numCache>
            </numRef>
          </yVal>
          <smooth val="1"/>
        </ser>
        <ser>
          <idx val="1"/>
          <order val="1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Графики!$AD$6:$AD$41</f>
              <numCache>
                <formatCode>0.0</formatCode>
                <ptCount val="36"/>
                <pt idx="0">
                  <v>-0.000344</v>
                </pt>
                <pt idx="1">
                  <v>0.000116</v>
                </pt>
                <pt idx="2">
                  <v>-9e-06</v>
                </pt>
                <pt idx="3">
                  <v>-0.00033</v>
                </pt>
                <pt idx="4">
                  <v>-0.000129</v>
                </pt>
                <pt idx="5">
                  <v>9e-06</v>
                </pt>
                <pt idx="6">
                  <v>-0.000244</v>
                </pt>
                <pt idx="7">
                  <v>-0.000393</v>
                </pt>
                <pt idx="8">
                  <v>-0.00017</v>
                </pt>
                <pt idx="9">
                  <v>-0.000151</v>
                </pt>
                <pt idx="10">
                  <v>5.2e-05</v>
                </pt>
                <pt idx="11">
                  <v>-0.000443</v>
                </pt>
                <pt idx="12">
                  <v>-0.000274</v>
                </pt>
                <pt idx="13">
                  <v>-0.000669</v>
                </pt>
                <pt idx="14">
                  <v>-0.000381</v>
                </pt>
                <pt idx="15">
                  <v>-0.00025</v>
                </pt>
                <pt idx="16">
                  <v>0.000128</v>
                </pt>
                <pt idx="17">
                  <v>-0.000184</v>
                </pt>
                <pt idx="18">
                  <v>8.2e-05</v>
                </pt>
                <pt idx="19">
                  <v>0.000109</v>
                </pt>
                <pt idx="20">
                  <v>-0.000195</v>
                </pt>
                <pt idx="21">
                  <v>-0.000535</v>
                </pt>
                <pt idx="22">
                  <v>-0.000269</v>
                </pt>
                <pt idx="23">
                  <v>0.000405</v>
                </pt>
                <pt idx="24">
                  <v>-6.1e-05</v>
                </pt>
                <pt idx="25">
                  <v>-0.000233</v>
                </pt>
                <pt idx="26">
                  <v>-9e-06</v>
                </pt>
                <pt idx="27">
                  <v>0.000122</v>
                </pt>
                <pt idx="28">
                  <v>-0.000202</v>
                </pt>
                <pt idx="29">
                  <v>-0.000377</v>
                </pt>
                <pt idx="30">
                  <v>7.8e-05</v>
                </pt>
                <pt idx="31">
                  <v>-0.000539</v>
                </pt>
                <pt idx="32">
                  <v>-0.000326</v>
                </pt>
                <pt idx="33">
                  <v>-0.000326</v>
                </pt>
                <pt idx="34">
                  <v>-0.000189</v>
                </pt>
                <pt idx="35">
                  <v>-0.000503</v>
                </pt>
              </numCache>
            </numRef>
          </yVal>
          <smooth val="1"/>
        </ser>
        <ser>
          <idx val="2"/>
          <order val="2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Графики!$AE$6:$AE$41</f>
              <numCache>
                <formatCode>0.0</formatCode>
                <ptCount val="36"/>
                <pt idx="0">
                  <v>-0.000518</v>
                </pt>
                <pt idx="1">
                  <v>-0.000429</v>
                </pt>
                <pt idx="2">
                  <v>-0.000406</v>
                </pt>
                <pt idx="3">
                  <v>-4.7e-05</v>
                </pt>
                <pt idx="4">
                  <v>-0.000452</v>
                </pt>
                <pt idx="5">
                  <v>-0.000347</v>
                </pt>
                <pt idx="6">
                  <v>-0.000505</v>
                </pt>
                <pt idx="7">
                  <v>-9.500000000000001e-05</v>
                </pt>
                <pt idx="8">
                  <v>-0.000648</v>
                </pt>
                <pt idx="9">
                  <v>-0.00018</v>
                </pt>
                <pt idx="10">
                  <v>-0.000392</v>
                </pt>
                <pt idx="11">
                  <v>-8.6e-05</v>
                </pt>
                <pt idx="12">
                  <v>-0.000433</v>
                </pt>
                <pt idx="13">
                  <v>-1.1e-05</v>
                </pt>
                <pt idx="14">
                  <v>-1.1e-05</v>
                </pt>
                <pt idx="15">
                  <v>-3.3e-05</v>
                </pt>
                <pt idx="16">
                  <v>-0.000292</v>
                </pt>
                <pt idx="17">
                  <v>-0.000315</v>
                </pt>
                <pt idx="18">
                  <v>-0.00038</v>
                </pt>
                <pt idx="19">
                  <v>-1.1e-05</v>
                </pt>
                <pt idx="20">
                  <v>-0.000395</v>
                </pt>
                <pt idx="21">
                  <v>-0.000354</v>
                </pt>
                <pt idx="22">
                  <v>-0.000254</v>
                </pt>
                <pt idx="23">
                  <v>-0.000554</v>
                </pt>
                <pt idx="24">
                  <v>-0.000205</v>
                </pt>
                <pt idx="25">
                  <v>-0.000196</v>
                </pt>
                <pt idx="26">
                  <v>-5.5e-05</v>
                </pt>
                <pt idx="27">
                  <v>-0.000398</v>
                </pt>
                <pt idx="28">
                  <v>-3.8e-05</v>
                </pt>
                <pt idx="29">
                  <v>-0.000158</v>
                </pt>
                <pt idx="30">
                  <v>-0.000376</v>
                </pt>
                <pt idx="31">
                  <v>-0.000105</v>
                </pt>
                <pt idx="32">
                  <v>-0.000451</v>
                </pt>
                <pt idx="33">
                  <v>-0.000162</v>
                </pt>
                <pt idx="34">
                  <v>2.5e-05</v>
                </pt>
                <pt idx="35">
                  <v>0.000162</v>
                </pt>
              </numCache>
            </numRef>
          </yVal>
          <smooth val="1"/>
        </ser>
        <ser>
          <idx val="3"/>
          <order val="3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Графики!$AF$6:$AF$41</f>
              <numCache>
                <formatCode>0.0</formatCode>
                <ptCount val="36"/>
                <pt idx="0">
                  <v>-0.000199</v>
                </pt>
                <pt idx="1">
                  <v>0.000222</v>
                </pt>
                <pt idx="2">
                  <v>-0.000251</v>
                </pt>
                <pt idx="3">
                  <v>0.000181</v>
                </pt>
                <pt idx="4">
                  <v>0.000107</v>
                </pt>
                <pt idx="5">
                  <v>-0.000193</v>
                </pt>
                <pt idx="6">
                  <v>-0.000374</v>
                </pt>
                <pt idx="7">
                  <v>1.3e-05</v>
                </pt>
                <pt idx="8">
                  <v>4.7e-05</v>
                </pt>
                <pt idx="9">
                  <v>6e-05</v>
                </pt>
                <pt idx="10">
                  <v>-0.000113</v>
                </pt>
                <pt idx="11">
                  <v>0.000213</v>
                </pt>
                <pt idx="12">
                  <v>-0.000487</v>
                </pt>
                <pt idx="13">
                  <v>-0.000584</v>
                </pt>
                <pt idx="14">
                  <v>-0.000282</v>
                </pt>
                <pt idx="15">
                  <v>-7.7e-05</v>
                </pt>
                <pt idx="16">
                  <v>-0.000469</v>
                </pt>
                <pt idx="17">
                  <v>2.7e-05</v>
                </pt>
                <pt idx="18">
                  <v>-0.000634</v>
                </pt>
                <pt idx="19">
                  <v>-7.3e-05</v>
                </pt>
                <pt idx="20">
                  <v>-9.3e-05</v>
                </pt>
                <pt idx="21">
                  <v>-0.000516</v>
                </pt>
                <pt idx="22">
                  <v>2e-05</v>
                </pt>
                <pt idx="23">
                  <v>-8.3e-05</v>
                </pt>
                <pt idx="24">
                  <v>-3.6e-05</v>
                </pt>
                <pt idx="25">
                  <v>-5.9e-05</v>
                </pt>
                <pt idx="26">
                  <v>0.00016</v>
                </pt>
                <pt idx="27">
                  <v>-0.000291</v>
                </pt>
                <pt idx="28">
                  <v>-2.1e-05</v>
                </pt>
                <pt idx="29">
                  <v>-0.000223</v>
                </pt>
                <pt idx="30">
                  <v>-0.000328</v>
                </pt>
                <pt idx="31">
                  <v>-0.000412</v>
                </pt>
                <pt idx="32">
                  <v>0.000111</v>
                </pt>
                <pt idx="33">
                  <v>-0.000264</v>
                </pt>
                <pt idx="34">
                  <v>-0.000497</v>
                </pt>
                <pt idx="35">
                  <v>-9.2e-05</v>
                </pt>
              </numCache>
            </numRef>
          </yVal>
          <smooth val="1"/>
        </ser>
        <ser>
          <idx val="4"/>
          <order val="4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Графики!$AG$6:$AG$41</f>
              <numCache>
                <formatCode>0.0</formatCode>
                <ptCount val="36"/>
                <pt idx="0">
                  <v>-0.000218</v>
                </pt>
                <pt idx="1">
                  <v>-0.000214</v>
                </pt>
                <pt idx="2">
                  <v>-4.7e-05</v>
                </pt>
                <pt idx="3">
                  <v>-0.000249</v>
                </pt>
                <pt idx="4">
                  <v>-0.000186</v>
                </pt>
                <pt idx="5">
                  <v>-0.00061</v>
                </pt>
                <pt idx="6">
                  <v>-0.000299</v>
                </pt>
                <pt idx="7">
                  <v>-0.000372</v>
                </pt>
                <pt idx="8">
                  <v>0.00012</v>
                </pt>
                <pt idx="9">
                  <v>0.000169</v>
                </pt>
                <pt idx="10">
                  <v>-0.00029</v>
                </pt>
                <pt idx="11">
                  <v>-0.000196</v>
                </pt>
                <pt idx="12">
                  <v>3e-06</v>
                </pt>
                <pt idx="13">
                  <v>-0.000331</v>
                </pt>
                <pt idx="14">
                  <v>2.5e-05</v>
                </pt>
                <pt idx="15">
                  <v>-0.000171</v>
                </pt>
                <pt idx="16">
                  <v>-0.000276</v>
                </pt>
                <pt idx="17">
                  <v>0.000159</v>
                </pt>
                <pt idx="18">
                  <v>4.8e-05</v>
                </pt>
                <pt idx="19">
                  <v>-0.000242</v>
                </pt>
                <pt idx="20">
                  <v>-7.1e-05</v>
                </pt>
                <pt idx="21">
                  <v>-0.000586</v>
                </pt>
                <pt idx="22">
                  <v>-0.000497</v>
                </pt>
                <pt idx="23">
                  <v>0.000138</v>
                </pt>
                <pt idx="24">
                  <v>0.000479</v>
                </pt>
                <pt idx="25">
                  <v>-0.000469</v>
                </pt>
                <pt idx="26">
                  <v>-0.000503</v>
                </pt>
                <pt idx="27">
                  <v>-0.000318</v>
                </pt>
                <pt idx="28">
                  <v>-0.000174</v>
                </pt>
                <pt idx="29">
                  <v>-6.4e-05</v>
                </pt>
                <pt idx="30">
                  <v>-0.000123</v>
                </pt>
                <pt idx="31">
                  <v>-0.000259</v>
                </pt>
                <pt idx="32">
                  <v>-0.000451</v>
                </pt>
                <pt idx="33">
                  <v>-0.000139</v>
                </pt>
                <pt idx="34">
                  <v>-0.000271</v>
                </pt>
                <pt idx="35">
                  <v>-0.000429</v>
                </pt>
              </numCache>
            </numRef>
          </yVal>
          <smooth val="1"/>
        </ser>
        <ser>
          <idx val="5"/>
          <order val="5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Графики!$AH$6:$AH$41</f>
              <numCache>
                <formatCode>0.0</formatCode>
                <ptCount val="36"/>
                <pt idx="0">
                  <v>-0.000176</v>
                </pt>
                <pt idx="1">
                  <v>-0.0005730000000000001</v>
                </pt>
                <pt idx="2">
                  <v>-0.00019</v>
                </pt>
                <pt idx="3">
                  <v>3e-06</v>
                </pt>
                <pt idx="4">
                  <v>-0.000225</v>
                </pt>
                <pt idx="5">
                  <v>-8.1e-05</v>
                </pt>
                <pt idx="6">
                  <v>-0.000228</v>
                </pt>
                <pt idx="7">
                  <v>-3.5e-05</v>
                </pt>
                <pt idx="8">
                  <v>-0.000199</v>
                </pt>
                <pt idx="9">
                  <v>-8.1e-05</v>
                </pt>
                <pt idx="10">
                  <v>-0.000146</v>
                </pt>
                <pt idx="11">
                  <v>-0.000392</v>
                </pt>
                <pt idx="12">
                  <v>-0.000356</v>
                </pt>
                <pt idx="13">
                  <v>-0.000416</v>
                </pt>
                <pt idx="14">
                  <v>6.1e-05</v>
                </pt>
                <pt idx="15">
                  <v>6.1e-05</v>
                </pt>
                <pt idx="16">
                  <v>5.2e-05</v>
                </pt>
                <pt idx="17">
                  <v>-0.000389</v>
                </pt>
                <pt idx="18">
                  <v>0.00031</v>
                </pt>
                <pt idx="19">
                  <v>0.000338</v>
                </pt>
                <pt idx="20">
                  <v>-0.000264</v>
                </pt>
                <pt idx="21">
                  <v>-0.000486</v>
                </pt>
                <pt idx="22">
                  <v>0.000306</v>
                </pt>
                <pt idx="23">
                  <v>-0.000169</v>
                </pt>
                <pt idx="24">
                  <v>-0.000138</v>
                </pt>
                <pt idx="25">
                  <v>-0.000477</v>
                </pt>
                <pt idx="26">
                  <v>-0.000241</v>
                </pt>
                <pt idx="27">
                  <v>0.000445</v>
                </pt>
                <pt idx="28">
                  <v>-0.000155</v>
                </pt>
                <pt idx="29">
                  <v>-3.5e-05</v>
                </pt>
                <pt idx="30">
                  <v>2.1e-05</v>
                </pt>
                <pt idx="31">
                  <v>-0.00033</v>
                </pt>
                <pt idx="32">
                  <v>-0.000257</v>
                </pt>
                <pt idx="33">
                  <v>-0.000134</v>
                </pt>
                <pt idx="34">
                  <v>-0.000494</v>
                </pt>
                <pt idx="35">
                  <v>-0.00041</v>
                </pt>
              </numCache>
            </numRef>
          </yVal>
          <smooth val="1"/>
        </ser>
        <ser>
          <idx val="6"/>
          <order val="6"/>
          <tx>
            <strRef>
              <f>Графики!$AB$5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Графики!$AB$6:$AB$41</f>
              <numCache>
                <formatCode>0.0</formatCode>
                <ptCount val="36"/>
                <pt idx="0">
                  <v>-0.000122</v>
                </pt>
                <pt idx="1">
                  <v>-0.00012</v>
                </pt>
                <pt idx="2">
                  <v>0.000318</v>
                </pt>
                <pt idx="3">
                  <v>6.8e-05</v>
                </pt>
                <pt idx="4">
                  <v>0.00014</v>
                </pt>
                <pt idx="5">
                  <v>-0.000331</v>
                </pt>
                <pt idx="6">
                  <v>2.7e-05</v>
                </pt>
                <pt idx="7">
                  <v>-0.000115</v>
                </pt>
                <pt idx="8">
                  <v>-0.000419</v>
                </pt>
                <pt idx="9">
                  <v>-0.000443</v>
                </pt>
                <pt idx="10">
                  <v>-0.00024</v>
                </pt>
                <pt idx="11">
                  <v>-0.000295</v>
                </pt>
                <pt idx="12">
                  <v>-0.00029</v>
                </pt>
                <pt idx="13">
                  <v>-0.000177</v>
                </pt>
                <pt idx="14">
                  <v>-0.000596</v>
                </pt>
                <pt idx="15">
                  <v>-0.000267</v>
                </pt>
                <pt idx="16">
                  <v>-0.000203</v>
                </pt>
                <pt idx="17">
                  <v>-0.000316</v>
                </pt>
                <pt idx="18">
                  <v>-0.000309</v>
                </pt>
                <pt idx="19">
                  <v>-0.000218</v>
                </pt>
                <pt idx="20">
                  <v>-0.000325</v>
                </pt>
                <pt idx="21">
                  <v>2.4e-05</v>
                </pt>
                <pt idx="22">
                  <v>-8.8e-05</v>
                </pt>
                <pt idx="23">
                  <v>-0.000124</v>
                </pt>
                <pt idx="24">
                  <v>-0.000367</v>
                </pt>
                <pt idx="25">
                  <v>-0.00014</v>
                </pt>
                <pt idx="26">
                  <v>7.6e-05</v>
                </pt>
                <pt idx="27">
                  <v>-1.3e-05</v>
                </pt>
                <pt idx="28">
                  <v>-0.000355</v>
                </pt>
                <pt idx="29">
                  <v>-2.3e-05</v>
                </pt>
                <pt idx="30">
                  <v>-0.000496</v>
                </pt>
                <pt idx="31">
                  <v>9.8e-05</v>
                </pt>
                <pt idx="32">
                  <v>0.000406</v>
                </pt>
                <pt idx="33">
                  <v>-2.3e-05</v>
                </pt>
                <pt idx="34">
                  <v>-0.000353</v>
                </pt>
                <pt idx="35">
                  <v>0.000342</v>
                </pt>
              </numCache>
            </numRef>
          </yVal>
          <smooth val="1"/>
        </ser>
        <ser>
          <idx val="7"/>
          <order val="7"/>
          <tx>
            <strRef>
              <f>Графики!$AC$5</f>
              <strCache>
                <ptCount val="1"/>
                <pt idx="0">
                  <v>NiPA-62-F_UG_2__2026-03-24_11-5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Графики!$AC$6:$AC$41</f>
              <numCache>
                <formatCode>0.0</formatCode>
                <ptCount val="36"/>
                <pt idx="0">
                  <v>0.000159</v>
                </pt>
                <pt idx="1">
                  <v>8.1e-05</v>
                </pt>
                <pt idx="2">
                  <v>-0.000446</v>
                </pt>
                <pt idx="3">
                  <v>-0.000398</v>
                </pt>
                <pt idx="4">
                  <v>-0.000408</v>
                </pt>
                <pt idx="5">
                  <v>-0.000432</v>
                </pt>
                <pt idx="6">
                  <v>0.000405</v>
                </pt>
                <pt idx="7">
                  <v>0.000183</v>
                </pt>
                <pt idx="8">
                  <v>-0.000279</v>
                </pt>
                <pt idx="9">
                  <v>-0.000146</v>
                </pt>
                <pt idx="10">
                  <v>-0.000235</v>
                </pt>
                <pt idx="11">
                  <v>-0.000176</v>
                </pt>
                <pt idx="12">
                  <v>0.000227</v>
                </pt>
                <pt idx="13">
                  <v>-0.000307</v>
                </pt>
                <pt idx="14">
                  <v>-0.000489</v>
                </pt>
                <pt idx="15">
                  <v>-6e-05</v>
                </pt>
                <pt idx="16">
                  <v>-9.000000000000001e-05</v>
                </pt>
                <pt idx="17">
                  <v>0.000377</v>
                </pt>
                <pt idx="18">
                  <v>-9.2e-05</v>
                </pt>
                <pt idx="19">
                  <v>-0.00022</v>
                </pt>
                <pt idx="20">
                  <v>0.000235</v>
                </pt>
                <pt idx="21">
                  <v>-2.5e-05</v>
                </pt>
                <pt idx="22">
                  <v>2.7e-05</v>
                </pt>
                <pt idx="23">
                  <v>-9.500000000000001e-05</v>
                </pt>
                <pt idx="24">
                  <v>0.000518</v>
                </pt>
                <pt idx="25">
                  <v>4.6e-05</v>
                </pt>
                <pt idx="26">
                  <v>-0.000245</v>
                </pt>
                <pt idx="27">
                  <v>-0.000626</v>
                </pt>
                <pt idx="28">
                  <v>-0.000146</v>
                </pt>
                <pt idx="29">
                  <v>-0.000419</v>
                </pt>
                <pt idx="30">
                  <v>3.2e-05</v>
                </pt>
                <pt idx="31">
                  <v>0.000112</v>
                </pt>
                <pt idx="32">
                  <v>-0.000231</v>
                </pt>
                <pt idx="33">
                  <v>-0.000346</v>
                </pt>
                <pt idx="34">
                  <v>-0.000132</v>
                </pt>
                <pt idx="35">
                  <v>0.000163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At val="-1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Графики!$AA$4</f>
              <strCache>
                <ptCount val="1"/>
                <pt idx="0">
                  <v>Ig, мА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1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4226515366929759"/>
          <y val="0.1109522914040043"/>
          <w val="0.527508112815556"/>
          <h val="0.1720644266603427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Графики!$AI$5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Графики!$AI$6:$AI$41</f>
              <numCache>
                <formatCode>0.0</formatCode>
                <ptCount val="36"/>
                <pt idx="0">
                  <v>15.513217</v>
                </pt>
                <pt idx="1">
                  <v>16.938403</v>
                </pt>
                <pt idx="2">
                  <v>18.204166</v>
                </pt>
                <pt idx="3">
                  <v>18.624177</v>
                </pt>
                <pt idx="4">
                  <v>19.00573</v>
                </pt>
                <pt idx="5">
                  <v>19.236555</v>
                </pt>
                <pt idx="6">
                  <v>19.771552</v>
                </pt>
                <pt idx="7">
                  <v>19.939963</v>
                </pt>
                <pt idx="8">
                  <v>20.437696</v>
                </pt>
                <pt idx="9">
                  <v>21.122293</v>
                </pt>
                <pt idx="10">
                  <v>21.792282</v>
                </pt>
                <pt idx="11">
                  <v>22.269049</v>
                </pt>
                <pt idx="12">
                  <v>22.321244</v>
                </pt>
                <pt idx="13">
                  <v>22.564494</v>
                </pt>
                <pt idx="14">
                  <v>22.463489</v>
                </pt>
                <pt idx="15">
                  <v>22.779746</v>
                </pt>
                <pt idx="16">
                  <v>22.736565</v>
                </pt>
                <pt idx="17">
                  <v>22.161004</v>
                </pt>
                <pt idx="18">
                  <v>21.842827</v>
                </pt>
                <pt idx="19">
                  <v>21.314206</v>
                </pt>
                <pt idx="20">
                  <v>21.411911</v>
                </pt>
                <pt idx="21">
                  <v>21.750725</v>
                </pt>
                <pt idx="22">
                  <v>21.674391</v>
                </pt>
                <pt idx="23">
                  <v>21.62398</v>
                </pt>
                <pt idx="24">
                  <v>21.878219</v>
                </pt>
                <pt idx="25">
                  <v>21.913406</v>
                </pt>
                <pt idx="26">
                  <v>22.076007</v>
                </pt>
                <pt idx="27">
                  <v>22.025594</v>
                </pt>
                <pt idx="28">
                  <v>21.767722</v>
                </pt>
                <pt idx="29">
                  <v>22.115341</v>
                </pt>
                <pt idx="30">
                  <v>22.248235</v>
                </pt>
                <pt idx="31">
                  <v>22.295223</v>
                </pt>
                <pt idx="32">
                  <v>22.418698</v>
                </pt>
                <pt idx="33">
                  <v>22.561067</v>
                </pt>
                <pt idx="34">
                  <v>22.868761</v>
                </pt>
                <pt idx="35">
                  <v>23.052913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Графики!$AK$6:$AK$41</f>
              <numCache>
                <formatCode>0.0</formatCode>
                <ptCount val="36"/>
                <pt idx="0">
                  <v>12.405177</v>
                </pt>
                <pt idx="1">
                  <v>12.388719</v>
                </pt>
                <pt idx="2">
                  <v>12.290105</v>
                </pt>
                <pt idx="3">
                  <v>12.617169</v>
                </pt>
                <pt idx="4">
                  <v>12.812192</v>
                </pt>
                <pt idx="5">
                  <v>12.810115</v>
                </pt>
                <pt idx="6">
                  <v>12.734777</v>
                </pt>
                <pt idx="7">
                  <v>12.376859</v>
                </pt>
                <pt idx="8">
                  <v>12.430832</v>
                </pt>
                <pt idx="9">
                  <v>12.467568</v>
                </pt>
                <pt idx="10">
                  <v>12.471317</v>
                </pt>
                <pt idx="11">
                  <v>12.32506</v>
                </pt>
                <pt idx="12">
                  <v>12.246492</v>
                </pt>
                <pt idx="13">
                  <v>12.483974</v>
                </pt>
                <pt idx="14">
                  <v>12.527268</v>
                </pt>
                <pt idx="15">
                  <v>12.768632</v>
                </pt>
                <pt idx="16">
                  <v>12.973494</v>
                </pt>
                <pt idx="17">
                  <v>12.753927</v>
                </pt>
                <pt idx="18">
                  <v>12.985321</v>
                </pt>
                <pt idx="19">
                  <v>12.848417</v>
                </pt>
                <pt idx="20">
                  <v>12.692395</v>
                </pt>
                <pt idx="21">
                  <v>12.676834</v>
                </pt>
                <pt idx="22">
                  <v>12.720134</v>
                </pt>
                <pt idx="23">
                  <v>12.422832</v>
                </pt>
                <pt idx="24">
                  <v>12.131547</v>
                </pt>
                <pt idx="25">
                  <v>12.194617</v>
                </pt>
                <pt idx="26">
                  <v>11.951989</v>
                </pt>
                <pt idx="27">
                  <v>11.945632</v>
                </pt>
                <pt idx="28">
                  <v>11.84095</v>
                </pt>
                <pt idx="29">
                  <v>11.538733</v>
                </pt>
                <pt idx="30">
                  <v>11.37506</v>
                </pt>
                <pt idx="31">
                  <v>11.407622</v>
                </pt>
                <pt idx="32">
                  <v>11.652778</v>
                </pt>
                <pt idx="33">
                  <v>11.660772</v>
                </pt>
                <pt idx="34">
                  <v>11.801104</v>
                </pt>
                <pt idx="35">
                  <v>11.624474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Графики!$AL$6:$AL$41</f>
              <numCache>
                <formatCode>0.0</formatCode>
                <ptCount val="36"/>
                <pt idx="0">
                  <v>12.403787</v>
                </pt>
                <pt idx="1">
                  <v>12.366051</v>
                </pt>
                <pt idx="2">
                  <v>12.281242</v>
                </pt>
                <pt idx="3">
                  <v>12.614452</v>
                </pt>
                <pt idx="4">
                  <v>12.810296</v>
                </pt>
                <pt idx="5">
                  <v>12.822037</v>
                </pt>
                <pt idx="6">
                  <v>12.728233</v>
                </pt>
                <pt idx="7">
                  <v>12.371723</v>
                </pt>
                <pt idx="8">
                  <v>12.425093</v>
                </pt>
                <pt idx="9">
                  <v>12.453515</v>
                </pt>
                <pt idx="10">
                  <v>12.398613</v>
                </pt>
                <pt idx="11">
                  <v>12.343654</v>
                </pt>
                <pt idx="12">
                  <v>12.279644</v>
                </pt>
                <pt idx="13">
                  <v>12.494077</v>
                </pt>
                <pt idx="14">
                  <v>12.497816</v>
                </pt>
                <pt idx="15">
                  <v>12.709802</v>
                </pt>
                <pt idx="16">
                  <v>12.955724</v>
                </pt>
                <pt idx="17">
                  <v>12.75629</v>
                </pt>
                <pt idx="18">
                  <v>12.963506</v>
                </pt>
                <pt idx="19">
                  <v>12.83819</v>
                </pt>
                <pt idx="20">
                  <v>12.664417</v>
                </pt>
                <pt idx="21">
                  <v>12.646321</v>
                </pt>
                <pt idx="22">
                  <v>12.655293</v>
                </pt>
                <pt idx="23">
                  <v>12.216656</v>
                </pt>
                <pt idx="24">
                  <v>12.117832</v>
                </pt>
                <pt idx="25">
                  <v>12.11959</v>
                </pt>
                <pt idx="26">
                  <v>11.843219</v>
                </pt>
                <pt idx="27">
                  <v>11.862677</v>
                </pt>
                <pt idx="28">
                  <v>11.745545</v>
                </pt>
                <pt idx="29">
                  <v>11.415402</v>
                </pt>
                <pt idx="30">
                  <v>11.283171</v>
                </pt>
                <pt idx="31">
                  <v>11.347162</v>
                </pt>
                <pt idx="32">
                  <v>11.577378</v>
                </pt>
                <pt idx="33">
                  <v>11.630378</v>
                </pt>
                <pt idx="34">
                  <v>11.710549</v>
                </pt>
                <pt idx="35">
                  <v>11.538975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Графики!$AM$6:$AM$41</f>
              <numCache>
                <formatCode>0.0</formatCode>
                <ptCount val="36"/>
                <pt idx="0">
                  <v>12.425985</v>
                </pt>
                <pt idx="1">
                  <v>12.410167</v>
                </pt>
                <pt idx="2">
                  <v>12.335749</v>
                </pt>
                <pt idx="3">
                  <v>12.651158</v>
                </pt>
                <pt idx="4">
                  <v>12.827006</v>
                </pt>
                <pt idx="5">
                  <v>12.823472</v>
                </pt>
                <pt idx="6">
                  <v>12.743257</v>
                </pt>
                <pt idx="7">
                  <v>12.363374</v>
                </pt>
                <pt idx="8">
                  <v>12.388161</v>
                </pt>
                <pt idx="9">
                  <v>12.318432</v>
                </pt>
                <pt idx="10">
                  <v>12.274719</v>
                </pt>
                <pt idx="11">
                  <v>12.156263</v>
                </pt>
                <pt idx="12">
                  <v>12.220039</v>
                </pt>
                <pt idx="13">
                  <v>12.539638</v>
                </pt>
                <pt idx="14">
                  <v>12.584804</v>
                </pt>
                <pt idx="15">
                  <v>12.821496</v>
                </pt>
                <pt idx="16">
                  <v>13.050734</v>
                </pt>
                <pt idx="17">
                  <v>12.836662</v>
                </pt>
                <pt idx="18">
                  <v>13.070009</v>
                </pt>
                <pt idx="19">
                  <v>12.938453</v>
                </pt>
                <pt idx="20">
                  <v>12.760598</v>
                </pt>
                <pt idx="21">
                  <v>12.731451</v>
                </pt>
                <pt idx="22">
                  <v>12.740752</v>
                </pt>
                <pt idx="23">
                  <v>12.439609</v>
                </pt>
                <pt idx="24">
                  <v>12.154897</v>
                </pt>
                <pt idx="25">
                  <v>12.212689</v>
                </pt>
                <pt idx="26">
                  <v>11.988747</v>
                </pt>
                <pt idx="27">
                  <v>12.000352</v>
                </pt>
                <pt idx="28">
                  <v>11.868466</v>
                </pt>
                <pt idx="29">
                  <v>11.575284</v>
                </pt>
                <pt idx="30">
                  <v>11.442762</v>
                </pt>
                <pt idx="31">
                  <v>11.461678</v>
                </pt>
                <pt idx="32">
                  <v>11.699565</v>
                </pt>
                <pt idx="33">
                  <v>11.779699</v>
                </pt>
                <pt idx="34">
                  <v>11.840171</v>
                </pt>
                <pt idx="35">
                  <v>11.673603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Графики!$AN$6:$AN$41</f>
              <numCache>
                <formatCode>0.0</formatCode>
                <ptCount val="36"/>
                <pt idx="0">
                  <v>12.412809</v>
                </pt>
                <pt idx="1">
                  <v>12.370991</v>
                </pt>
                <pt idx="2">
                  <v>12.289434</v>
                </pt>
                <pt idx="3">
                  <v>12.622856</v>
                </pt>
                <pt idx="4">
                  <v>12.831936</v>
                </pt>
                <pt idx="5">
                  <v>12.870154</v>
                </pt>
                <pt idx="6">
                  <v>12.763154</v>
                </pt>
                <pt idx="7">
                  <v>12.452258</v>
                </pt>
                <pt idx="8">
                  <v>12.537249</v>
                </pt>
                <pt idx="9">
                  <v>12.609636</v>
                </pt>
                <pt idx="10">
                  <v>12.628758</v>
                </pt>
                <pt idx="11">
                  <v>12.636651</v>
                </pt>
                <pt idx="12">
                  <v>12.505603</v>
                </pt>
                <pt idx="13">
                  <v>12.617169</v>
                </pt>
                <pt idx="14">
                  <v>12.551486</v>
                </pt>
                <pt idx="15">
                  <v>12.779205</v>
                </pt>
                <pt idx="16">
                  <v>12.98477</v>
                </pt>
                <pt idx="17">
                  <v>12.759803</v>
                </pt>
                <pt idx="18">
                  <v>13.002271</v>
                </pt>
                <pt idx="19">
                  <v>12.883179</v>
                </pt>
                <pt idx="20">
                  <v>12.720194</v>
                </pt>
                <pt idx="21">
                  <v>12.702694</v>
                </pt>
                <pt idx="22">
                  <v>12.69521</v>
                </pt>
                <pt idx="23">
                  <v>12.384078</v>
                </pt>
                <pt idx="24">
                  <v>12.141204</v>
                </pt>
                <pt idx="25">
                  <v>12.171373</v>
                </pt>
                <pt idx="26">
                  <v>11.934078</v>
                </pt>
                <pt idx="27">
                  <v>12.000764</v>
                </pt>
                <pt idx="28">
                  <v>11.767864</v>
                </pt>
                <pt idx="29">
                  <v>11.527498</v>
                </pt>
                <pt idx="30">
                  <v>11.418197</v>
                </pt>
                <pt idx="31">
                  <v>11.456708</v>
                </pt>
                <pt idx="32">
                  <v>11.665943</v>
                </pt>
                <pt idx="33">
                  <v>11.72848</v>
                </pt>
                <pt idx="34">
                  <v>11.779956</v>
                </pt>
                <pt idx="35">
                  <v>11.610335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Графики!$AO$6:$AO$41</f>
              <numCache>
                <formatCode>0.0</formatCode>
                <ptCount val="36"/>
                <pt idx="0">
                  <v>11.660932</v>
                </pt>
                <pt idx="1">
                  <v>11.654916</v>
                </pt>
                <pt idx="2">
                  <v>11.542113</v>
                </pt>
                <pt idx="3">
                  <v>11.685709</v>
                </pt>
                <pt idx="4">
                  <v>11.794574</v>
                </pt>
                <pt idx="5">
                  <v>11.710357</v>
                </pt>
                <pt idx="6">
                  <v>11.640682</v>
                </pt>
                <pt idx="7">
                  <v>11.248979</v>
                </pt>
                <pt idx="8">
                  <v>11.144515</v>
                </pt>
                <pt idx="9">
                  <v>11.081949</v>
                </pt>
                <pt idx="10">
                  <v>11.164488</v>
                </pt>
                <pt idx="11">
                  <v>11.144612</v>
                </pt>
                <pt idx="12">
                  <v>10.919378</v>
                </pt>
                <pt idx="13">
                  <v>10.662287</v>
                </pt>
                <pt idx="14">
                  <v>10.07023</v>
                </pt>
                <pt idx="15">
                  <v>9.866873999999999</v>
                </pt>
                <pt idx="16">
                  <v>9.954357999999999</v>
                </pt>
                <pt idx="17">
                  <v>9.415461000000001</v>
                </pt>
                <pt idx="18">
                  <v>9.086652000000001</v>
                </pt>
                <pt idx="19">
                  <v>8.715827000000001</v>
                </pt>
                <pt idx="20">
                  <v>8.465529</v>
                </pt>
                <pt idx="21">
                  <v>8.651764</v>
                </pt>
                <pt idx="22">
                  <v>8.45356</v>
                </pt>
                <pt idx="23">
                  <v>7.924516</v>
                </pt>
                <pt idx="24">
                  <v>7.817974</v>
                </pt>
                <pt idx="25">
                  <v>7.611343</v>
                </pt>
                <pt idx="26">
                  <v>7.71964</v>
                </pt>
                <pt idx="27">
                  <v>7.838521</v>
                </pt>
                <pt idx="28">
                  <v>7.315014</v>
                </pt>
                <pt idx="29">
                  <v>7.459086</v>
                </pt>
                <pt idx="30">
                  <v>7.482545</v>
                </pt>
                <pt idx="31">
                  <v>7.24294</v>
                </pt>
                <pt idx="32">
                  <v>7.010592</v>
                </pt>
                <pt idx="33">
                  <v>6.960822</v>
                </pt>
                <pt idx="34">
                  <v>6.553986</v>
                </pt>
                <pt idx="35">
                  <v>6.397351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Графики!$AP$6:$AP$41</f>
              <numCache>
                <formatCode>0.0</formatCode>
                <ptCount val="36"/>
                <pt idx="0">
                  <v>12.424559</v>
                </pt>
                <pt idx="1">
                  <v>12.405203</v>
                </pt>
                <pt idx="2">
                  <v>12.326644</v>
                </pt>
                <pt idx="3">
                  <v>12.63671</v>
                </pt>
                <pt idx="4">
                  <v>12.818646</v>
                </pt>
                <pt idx="5">
                  <v>12.804254</v>
                </pt>
                <pt idx="6">
                  <v>12.73138</v>
                </pt>
                <pt idx="7">
                  <v>12.354741</v>
                </pt>
                <pt idx="8">
                  <v>12.388197</v>
                </pt>
                <pt idx="9">
                  <v>12.378244</v>
                </pt>
                <pt idx="10">
                  <v>12.348831</v>
                </pt>
                <pt idx="11">
                  <v>12.19826</v>
                </pt>
                <pt idx="12">
                  <v>12.192436</v>
                </pt>
                <pt idx="13">
                  <v>12.493936</v>
                </pt>
                <pt idx="14">
                  <v>12.542504</v>
                </pt>
                <pt idx="15">
                  <v>12.760335</v>
                </pt>
                <pt idx="16">
                  <v>12.978714</v>
                </pt>
                <pt idx="17">
                  <v>12.745343</v>
                </pt>
                <pt idx="18">
                  <v>13.002204</v>
                </pt>
                <pt idx="19">
                  <v>12.848636</v>
                </pt>
                <pt idx="20">
                  <v>12.69251</v>
                </pt>
                <pt idx="21">
                  <v>12.676819</v>
                </pt>
                <pt idx="22">
                  <v>12.716545</v>
                </pt>
                <pt idx="23">
                  <v>12.442092</v>
                </pt>
                <pt idx="24">
                  <v>12.116472</v>
                </pt>
                <pt idx="25">
                  <v>12.13491</v>
                </pt>
                <pt idx="26">
                  <v>11.898478</v>
                </pt>
                <pt idx="27">
                  <v>11.908581</v>
                </pt>
                <pt idx="28">
                  <v>11.804912</v>
                </pt>
                <pt idx="29">
                  <v>11.492509</v>
                </pt>
                <pt idx="30">
                  <v>11.338713</v>
                </pt>
                <pt idx="31">
                  <v>11.343316</v>
                </pt>
                <pt idx="32">
                  <v>11.606446</v>
                </pt>
                <pt idx="33">
                  <v>11.621993</v>
                </pt>
                <pt idx="34">
                  <v>11.758804</v>
                </pt>
                <pt idx="35">
                  <v>11.586855</v>
                </pt>
              </numCache>
            </numRef>
          </yVal>
          <smooth val="1"/>
        </ser>
        <ser>
          <idx val="12"/>
          <order val="7"/>
          <tx>
            <strRef>
              <f>Графики!$AJ$5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Графики!$AJ$6:$AJ$41</f>
              <numCache>
                <formatCode>0.0</formatCode>
                <ptCount val="36"/>
                <pt idx="0">
                  <v>12.382375</v>
                </pt>
                <pt idx="1">
                  <v>12.366771</v>
                </pt>
                <pt idx="2">
                  <v>12.289049</v>
                </pt>
                <pt idx="3">
                  <v>12.619725</v>
                </pt>
                <pt idx="4">
                  <v>12.806788</v>
                </pt>
                <pt idx="5">
                  <v>12.812635</v>
                </pt>
                <pt idx="6">
                  <v>12.725522</v>
                </pt>
                <pt idx="7">
                  <v>12.374186</v>
                </pt>
                <pt idx="8">
                  <v>12.423717</v>
                </pt>
                <pt idx="9">
                  <v>12.418516</v>
                </pt>
                <pt idx="10">
                  <v>12.348883</v>
                </pt>
                <pt idx="11">
                  <v>12.248171</v>
                </pt>
                <pt idx="12">
                  <v>12.241689</v>
                </pt>
                <pt idx="13">
                  <v>12.514903</v>
                </pt>
                <pt idx="14">
                  <v>12.565972</v>
                </pt>
                <pt idx="15">
                  <v>12.786982</v>
                </pt>
                <pt idx="16">
                  <v>13.005346</v>
                </pt>
                <pt idx="17">
                  <v>12.821392</v>
                </pt>
                <pt idx="18">
                  <v>13.023848</v>
                </pt>
                <pt idx="19">
                  <v>12.888355</v>
                </pt>
                <pt idx="20">
                  <v>12.711281</v>
                </pt>
                <pt idx="21">
                  <v>12.67729</v>
                </pt>
                <pt idx="22">
                  <v>12.680582</v>
                </pt>
                <pt idx="23">
                  <v>12.271359</v>
                </pt>
                <pt idx="24">
                  <v>12.118224</v>
                </pt>
                <pt idx="25">
                  <v>12.160229</v>
                </pt>
                <pt idx="26">
                  <v>11.924949</v>
                </pt>
                <pt idx="27">
                  <v>11.926094</v>
                </pt>
                <pt idx="28">
                  <v>11.81021</v>
                </pt>
                <pt idx="29">
                  <v>11.516855</v>
                </pt>
                <pt idx="30">
                  <v>11.379342</v>
                </pt>
                <pt idx="31">
                  <v>11.422682</v>
                </pt>
                <pt idx="32">
                  <v>11.630037</v>
                </pt>
                <pt idx="33">
                  <v>11.663693</v>
                </pt>
                <pt idx="34">
                  <v>11.759873</v>
                </pt>
                <pt idx="35">
                  <v>11.588967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Графики!$AI$4</f>
              <strCache>
                <ptCount val="1"/>
                <pt idx="0">
                  <v>Ку, дБ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1962965347389068"/>
          <y val="0.5286028322607598"/>
          <w val="0.3623576459565562"/>
          <h val="0.242653250467118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Графики!$AQ$5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Графики!$AQ$6:$AQ$41</f>
              <numCache>
                <formatCode>0.0</formatCode>
                <ptCount val="36"/>
                <pt idx="0">
                  <v>55.29750989005947</v>
                </pt>
                <pt idx="1">
                  <v>85.69204454691163</v>
                </pt>
                <pt idx="2">
                  <v>128.2327757324542</v>
                </pt>
                <pt idx="3">
                  <v>147.1677710199897</v>
                </pt>
                <pt idx="4">
                  <v>167.7233652898752</v>
                </pt>
                <pt idx="5">
                  <v>179.7327543054628</v>
                </pt>
                <pt idx="6">
                  <v>203.1727120342756</v>
                </pt>
                <pt idx="7">
                  <v>209.0033054585458</v>
                </pt>
                <pt idx="8">
                  <v>223.243340876242</v>
                </pt>
                <pt idx="9">
                  <v>242.2864570010569</v>
                </pt>
                <pt idx="10">
                  <v>264.9633156056616</v>
                </pt>
                <pt idx="11">
                  <v>287.7648950586179</v>
                </pt>
                <pt idx="12">
                  <v>284.4430916012417</v>
                </pt>
                <pt idx="13">
                  <v>294.2017521770756</v>
                </pt>
                <pt idx="14">
                  <v>281.1349852625756</v>
                </pt>
                <pt idx="15">
                  <v>293.5162365732928</v>
                </pt>
                <pt idx="16">
                  <v>298.3185309949781</v>
                </pt>
                <pt idx="17">
                  <v>269.9215365562811</v>
                </pt>
                <pt idx="18">
                  <v>257.1099719915177</v>
                </pt>
                <pt idx="19">
                  <v>232.8475226610266</v>
                </pt>
                <pt idx="20">
                  <v>236.7787800209192</v>
                </pt>
                <pt idx="21">
                  <v>253.1897215189895</v>
                </pt>
                <pt idx="22">
                  <v>249.8269727671295</v>
                </pt>
                <pt idx="23">
                  <v>244.5680709340961</v>
                </pt>
                <pt idx="24">
                  <v>254.4781662854285</v>
                </pt>
                <pt idx="25">
                  <v>254.899853269472</v>
                </pt>
                <pt idx="26">
                  <v>257.8232496550684</v>
                </pt>
                <pt idx="27">
                  <v>246.0256082264756</v>
                </pt>
                <pt idx="28">
                  <v>231.9448215121849</v>
                </pt>
                <pt idx="29">
                  <v>249.4058093878816</v>
                </pt>
                <pt idx="30">
                  <v>252.4888119153817</v>
                </pt>
                <pt idx="31">
                  <v>250.9170384480085</v>
                </pt>
                <pt idx="32">
                  <v>255.5253494780227</v>
                </pt>
                <pt idx="33">
                  <v>255.996625980507</v>
                </pt>
                <pt idx="34">
                  <v>260.1122802475881</v>
                </pt>
                <pt idx="35">
                  <v>261.9087525091008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Графики!$AS$6:$AS$41</f>
              <numCache>
                <formatCode>0.0</formatCode>
                <ptCount val="36"/>
                <pt idx="0">
                  <v>56.503554</v>
                </pt>
                <pt idx="1">
                  <v>59.240388</v>
                </pt>
                <pt idx="2">
                  <v>57.400913</v>
                </pt>
                <pt idx="3">
                  <v>57.636144</v>
                </pt>
                <pt idx="4">
                  <v>59.14551</v>
                </pt>
                <pt idx="5">
                  <v>56.758355</v>
                </pt>
                <pt idx="6">
                  <v>55.966878</v>
                </pt>
                <pt idx="7">
                  <v>49.68979</v>
                </pt>
                <pt idx="8">
                  <v>47.173048</v>
                </pt>
                <pt idx="9">
                  <v>46.5056</v>
                </pt>
                <pt idx="10">
                  <v>45.484336</v>
                </pt>
                <pt idx="11">
                  <v>43.016339</v>
                </pt>
                <pt idx="12">
                  <v>42.604608</v>
                </pt>
                <pt idx="13">
                  <v>46.027248</v>
                </pt>
                <pt idx="14">
                  <v>49.372635</v>
                </pt>
                <pt idx="15">
                  <v>52.364441</v>
                </pt>
                <pt idx="16">
                  <v>54.823398</v>
                </pt>
                <pt idx="17">
                  <v>53.385254</v>
                </pt>
                <pt idx="18">
                  <v>52.044616</v>
                </pt>
                <pt idx="19">
                  <v>50.255107</v>
                </pt>
                <pt idx="20">
                  <v>48.338569</v>
                </pt>
                <pt idx="21">
                  <v>48.04213</v>
                </pt>
                <pt idx="22">
                  <v>46.699089</v>
                </pt>
                <pt idx="23">
                  <v>42.658888</v>
                </pt>
                <pt idx="24">
                  <v>39.048076</v>
                </pt>
                <pt idx="25">
                  <v>39.368519</v>
                </pt>
                <pt idx="26">
                  <v>36.11084</v>
                </pt>
                <pt idx="27">
                  <v>35.135681</v>
                </pt>
                <pt idx="28">
                  <v>34.607789</v>
                </pt>
                <pt idx="29">
                  <v>31.60516</v>
                </pt>
                <pt idx="30">
                  <v>29.603063</v>
                </pt>
                <pt idx="31">
                  <v>29.853313</v>
                </pt>
                <pt idx="32">
                  <v>31.879279</v>
                </pt>
                <pt idx="33">
                  <v>31.525996</v>
                </pt>
                <pt idx="34">
                  <v>33.029891</v>
                </pt>
                <pt idx="35">
                  <v>31.714039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Графики!$AT$6:$AT$41</f>
              <numCache>
                <formatCode>0.0</formatCode>
                <ptCount val="36"/>
                <pt idx="0">
                  <v>56.337428</v>
                </pt>
                <pt idx="1">
                  <v>58.854658</v>
                </pt>
                <pt idx="2">
                  <v>56.857419</v>
                </pt>
                <pt idx="3">
                  <v>57.144849</v>
                </pt>
                <pt idx="4">
                  <v>58.560429</v>
                </pt>
                <pt idx="5">
                  <v>56.240723</v>
                </pt>
                <pt idx="6">
                  <v>55.072984</v>
                </pt>
                <pt idx="7">
                  <v>48.882163</v>
                </pt>
                <pt idx="8">
                  <v>46.352366</v>
                </pt>
                <pt idx="9">
                  <v>45.727255</v>
                </pt>
                <pt idx="10">
                  <v>44.318027</v>
                </pt>
                <pt idx="11">
                  <v>42.694516</v>
                </pt>
                <pt idx="12">
                  <v>42.509837</v>
                </pt>
                <pt idx="13">
                  <v>46.108497</v>
                </pt>
                <pt idx="14">
                  <v>49.361195</v>
                </pt>
                <pt idx="15">
                  <v>52.055404</v>
                </pt>
                <pt idx="16">
                  <v>54.537388</v>
                </pt>
                <pt idx="17">
                  <v>52.75679</v>
                </pt>
                <pt idx="18">
                  <v>51.591015</v>
                </pt>
                <pt idx="19">
                  <v>49.399624</v>
                </pt>
                <pt idx="20">
                  <v>47.365534</v>
                </pt>
                <pt idx="21">
                  <v>46.98382</v>
                </pt>
                <pt idx="22">
                  <v>45.293783</v>
                </pt>
                <pt idx="23">
                  <v>39.817014</v>
                </pt>
                <pt idx="24">
                  <v>38.205835</v>
                </pt>
                <pt idx="25">
                  <v>38.093785</v>
                </pt>
                <pt idx="26">
                  <v>34.648231</v>
                </pt>
                <pt idx="27">
                  <v>33.785472</v>
                </pt>
                <pt idx="28">
                  <v>33.164134</v>
                </pt>
                <pt idx="29">
                  <v>30.118117</v>
                </pt>
                <pt idx="30">
                  <v>28.405081</v>
                </pt>
                <pt idx="31">
                  <v>28.720073</v>
                </pt>
                <pt idx="32">
                  <v>30.603367</v>
                </pt>
                <pt idx="33">
                  <v>30.81997</v>
                </pt>
                <pt idx="34">
                  <v>32.114346</v>
                </pt>
                <pt idx="35">
                  <v>30.604073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Графики!$AU$6:$AU$41</f>
              <numCache>
                <formatCode>0.0</formatCode>
                <ptCount val="36"/>
                <pt idx="0">
                  <v>56.398641</v>
                </pt>
                <pt idx="1">
                  <v>59.207319</v>
                </pt>
                <pt idx="2">
                  <v>57.408028</v>
                </pt>
                <pt idx="3">
                  <v>57.740632</v>
                </pt>
                <pt idx="4">
                  <v>59.17832</v>
                </pt>
                <pt idx="5">
                  <v>56.769953</v>
                </pt>
                <pt idx="6">
                  <v>55.802427</v>
                </pt>
                <pt idx="7">
                  <v>49.42317</v>
                </pt>
                <pt idx="8">
                  <v>46.601323</v>
                </pt>
                <pt idx="9">
                  <v>45.021489</v>
                </pt>
                <pt idx="10">
                  <v>43.120761</v>
                </pt>
                <pt idx="11">
                  <v>40.582365</v>
                </pt>
                <pt idx="12">
                  <v>41.964142</v>
                </pt>
                <pt idx="13">
                  <v>46.730737</v>
                </pt>
                <pt idx="14">
                  <v>50.190942</v>
                </pt>
                <pt idx="15">
                  <v>52.849315</v>
                </pt>
                <pt idx="16">
                  <v>55.211997</v>
                </pt>
                <pt idx="17">
                  <v>53.449919</v>
                </pt>
                <pt idx="18">
                  <v>52.436091</v>
                </pt>
                <pt idx="19">
                  <v>50.534868</v>
                </pt>
                <pt idx="20">
                  <v>48.543538</v>
                </pt>
                <pt idx="21">
                  <v>48.243502</v>
                </pt>
                <pt idx="22">
                  <v>46.668977</v>
                </pt>
                <pt idx="23">
                  <v>42.465357</v>
                </pt>
                <pt idx="24">
                  <v>38.73212</v>
                </pt>
                <pt idx="25">
                  <v>39.332798</v>
                </pt>
                <pt idx="26">
                  <v>36.100434</v>
                </pt>
                <pt idx="27">
                  <v>35.205014</v>
                </pt>
                <pt idx="28">
                  <v>34.462824</v>
                </pt>
                <pt idx="29">
                  <v>31.591216</v>
                </pt>
                <pt idx="30">
                  <v>29.793214</v>
                </pt>
                <pt idx="31">
                  <v>29.916035</v>
                </pt>
                <pt idx="32">
                  <v>31.949972</v>
                </pt>
                <pt idx="33">
                  <v>32.306031</v>
                </pt>
                <pt idx="34">
                  <v>33.574328</v>
                </pt>
                <pt idx="35">
                  <v>32.094445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Графики!$AV$6:$AV$41</f>
              <numCache>
                <formatCode>0.0</formatCode>
                <ptCount val="36"/>
                <pt idx="0">
                  <v>56.475858</v>
                </pt>
                <pt idx="1">
                  <v>59.039819</v>
                </pt>
                <pt idx="2">
                  <v>57.108685</v>
                </pt>
                <pt idx="3">
                  <v>57.427543</v>
                </pt>
                <pt idx="4">
                  <v>58.738721</v>
                </pt>
                <pt idx="5">
                  <v>56.523652</v>
                </pt>
                <pt idx="6">
                  <v>55.187268</v>
                </pt>
                <pt idx="7">
                  <v>49.50237</v>
                </pt>
                <pt idx="8">
                  <v>47.417747</v>
                </pt>
                <pt idx="9">
                  <v>47.333543</v>
                </pt>
                <pt idx="10">
                  <v>45.838055</v>
                </pt>
                <pt idx="11">
                  <v>45.538217</v>
                </pt>
                <pt idx="12">
                  <v>44.471541</v>
                </pt>
                <pt idx="13">
                  <v>46.490001</v>
                </pt>
                <pt idx="14">
                  <v>48.614001</v>
                </pt>
                <pt idx="15">
                  <v>51.784741</v>
                </pt>
                <pt idx="16">
                  <v>54.320232</v>
                </pt>
                <pt idx="17">
                  <v>52.830875</v>
                </pt>
                <pt idx="18">
                  <v>52.317721</v>
                </pt>
                <pt idx="19">
                  <v>50.243686</v>
                </pt>
                <pt idx="20">
                  <v>48.28517</v>
                </pt>
                <pt idx="21">
                  <v>48.082716</v>
                </pt>
                <pt idx="22">
                  <v>46.181118</v>
                </pt>
                <pt idx="23">
                  <v>41.724171</v>
                </pt>
                <pt idx="24">
                  <v>38.727944</v>
                </pt>
                <pt idx="25">
                  <v>38.901817</v>
                </pt>
                <pt idx="26">
                  <v>35.546306</v>
                </pt>
                <pt idx="27">
                  <v>34.898872</v>
                </pt>
                <pt idx="28">
                  <v>33.753034</v>
                </pt>
                <pt idx="29">
                  <v>31.035174</v>
                </pt>
                <pt idx="30">
                  <v>29.448637</v>
                </pt>
                <pt idx="31">
                  <v>29.715259</v>
                </pt>
                <pt idx="32">
                  <v>31.509056</v>
                </pt>
                <pt idx="33">
                  <v>31.793426</v>
                </pt>
                <pt idx="34">
                  <v>33.02065</v>
                </pt>
                <pt idx="35">
                  <v>31.505639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Графики!$AW$6:$AW$41</f>
              <numCache>
                <formatCode>0.0</formatCode>
                <ptCount val="36"/>
                <pt idx="0">
                  <v>50.805956</v>
                </pt>
                <pt idx="1">
                  <v>52.901688</v>
                </pt>
                <pt idx="2">
                  <v>51.528701</v>
                </pt>
                <pt idx="3">
                  <v>50.855874</v>
                </pt>
                <pt idx="4">
                  <v>50.970804</v>
                </pt>
                <pt idx="5">
                  <v>47.841162</v>
                </pt>
                <pt idx="6">
                  <v>47.814736</v>
                </pt>
                <pt idx="7">
                  <v>42.745992</v>
                </pt>
                <pt idx="8">
                  <v>39.562833</v>
                </pt>
                <pt idx="9">
                  <v>37.841901</v>
                </pt>
                <pt idx="10">
                  <v>37.806548</v>
                </pt>
                <pt idx="11">
                  <v>37.873021</v>
                </pt>
                <pt idx="12">
                  <v>35.354031</v>
                </pt>
                <pt idx="13">
                  <v>33.220748</v>
                </pt>
                <pt idx="14">
                  <v>29.081646</v>
                </pt>
                <pt idx="15">
                  <v>27.93219</v>
                </pt>
                <pt idx="16">
                  <v>29.579136</v>
                </pt>
                <pt idx="17">
                  <v>26.173056</v>
                </pt>
                <pt idx="18">
                  <v>22.909324</v>
                </pt>
                <pt idx="19">
                  <v>20.645158</v>
                </pt>
                <pt idx="20">
                  <v>19.355523</v>
                </pt>
                <pt idx="21">
                  <v>20.638648</v>
                </pt>
                <pt idx="22">
                  <v>19.264147</v>
                </pt>
                <pt idx="23">
                  <v>16.43418</v>
                </pt>
                <pt idx="24">
                  <v>15.779994</v>
                </pt>
                <pt idx="25">
                  <v>14.821349</v>
                </pt>
                <pt idx="26">
                  <v>15.002409</v>
                </pt>
                <pt idx="27">
                  <v>15.37214</v>
                </pt>
                <pt idx="28">
                  <v>13.365536</v>
                </pt>
                <pt idx="29">
                  <v>13.75926</v>
                </pt>
                <pt idx="30">
                  <v>13.74118</v>
                </pt>
                <pt idx="31">
                  <v>12.860914</v>
                </pt>
                <pt idx="32">
                  <v>11.9209</v>
                </pt>
                <pt idx="33">
                  <v>11.683897</v>
                </pt>
                <pt idx="34">
                  <v>10.516157</v>
                </pt>
                <pt idx="35">
                  <v>10.115077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Графики!$AX$6:$AX$41</f>
              <numCache>
                <formatCode>0.0</formatCode>
                <ptCount val="36"/>
                <pt idx="0">
                  <v>56.588728</v>
                </pt>
                <pt idx="1">
                  <v>59.318748</v>
                </pt>
                <pt idx="2">
                  <v>57.637188</v>
                </pt>
                <pt idx="3">
                  <v>57.847042</v>
                </pt>
                <pt idx="4">
                  <v>59.357884</v>
                </pt>
                <pt idx="5">
                  <v>56.873145</v>
                </pt>
                <pt idx="6">
                  <v>56.125226</v>
                </pt>
                <pt idx="7">
                  <v>49.656065</v>
                </pt>
                <pt idx="8">
                  <v>46.893692</v>
                </pt>
                <pt idx="9">
                  <v>45.714492</v>
                </pt>
                <pt idx="10">
                  <v>44.245094</v>
                </pt>
                <pt idx="11">
                  <v>41.519836</v>
                </pt>
                <pt idx="12">
                  <v>42.066085</v>
                </pt>
                <pt idx="13">
                  <v>46.408112</v>
                </pt>
                <pt idx="14">
                  <v>49.923594</v>
                </pt>
                <pt idx="15">
                  <v>52.645563</v>
                </pt>
                <pt idx="16">
                  <v>55.123252</v>
                </pt>
                <pt idx="17">
                  <v>53.47984</v>
                </pt>
                <pt idx="18">
                  <v>52.120408</v>
                </pt>
                <pt idx="19">
                  <v>50.33752</v>
                </pt>
                <pt idx="20">
                  <v>48.403331</v>
                </pt>
                <pt idx="21">
                  <v>48.130772</v>
                </pt>
                <pt idx="22">
                  <v>46.738135</v>
                </pt>
                <pt idx="23">
                  <v>43.104455</v>
                </pt>
                <pt idx="24">
                  <v>38.625565</v>
                </pt>
                <pt idx="25">
                  <v>38.99092</v>
                </pt>
                <pt idx="26">
                  <v>35.912155</v>
                </pt>
                <pt idx="27">
                  <v>35.032831</v>
                </pt>
                <pt idx="28">
                  <v>34.544931</v>
                </pt>
                <pt idx="29">
                  <v>31.456113</v>
                </pt>
                <pt idx="30">
                  <v>29.487516</v>
                </pt>
                <pt idx="31">
                  <v>29.499043</v>
                </pt>
                <pt idx="32">
                  <v>31.593162</v>
                </pt>
                <pt idx="33">
                  <v>31.229841</v>
                </pt>
                <pt idx="34">
                  <v>32.728733</v>
                </pt>
                <pt idx="35">
                  <v>31.413486</v>
                </pt>
              </numCache>
            </numRef>
          </yVal>
          <smooth val="1"/>
        </ser>
        <ser>
          <idx val="12"/>
          <order val="7"/>
          <tx>
            <strRef>
              <f>Графики!$AR$5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Графики!$AR$6:$AR$41</f>
              <numCache>
                <formatCode>0.0</formatCode>
                <ptCount val="36"/>
                <pt idx="0">
                  <v>56.352756</v>
                </pt>
                <pt idx="1">
                  <v>58.949217</v>
                </pt>
                <pt idx="2">
                  <v>57.169686</v>
                </pt>
                <pt idx="3">
                  <v>57.453453</v>
                </pt>
                <pt idx="4">
                  <v>58.880179</v>
                </pt>
                <pt idx="5">
                  <v>56.536021</v>
                </pt>
                <pt idx="6">
                  <v>55.442489</v>
                </pt>
                <pt idx="7">
                  <v>49.283172</v>
                </pt>
                <pt idx="8">
                  <v>46.770689</v>
                </pt>
                <pt idx="9">
                  <v>45.791436</v>
                </pt>
                <pt idx="10">
                  <v>44.1983</v>
                </pt>
                <pt idx="11">
                  <v>41.900098</v>
                </pt>
                <pt idx="12">
                  <v>42.320448</v>
                </pt>
                <pt idx="13">
                  <v>46.478917</v>
                </pt>
                <pt idx="14">
                  <v>50.086721</v>
                </pt>
                <pt idx="15">
                  <v>52.686629</v>
                </pt>
                <pt idx="16">
                  <v>54.880576</v>
                </pt>
                <pt idx="17">
                  <v>53.367602</v>
                </pt>
                <pt idx="18">
                  <v>52.364264</v>
                </pt>
                <pt idx="19">
                  <v>50.163096</v>
                </pt>
                <pt idx="20">
                  <v>48.084855</v>
                </pt>
                <pt idx="21">
                  <v>47.624927</v>
                </pt>
                <pt idx="22">
                  <v>45.909095</v>
                </pt>
                <pt idx="23">
                  <v>40.50533</v>
                </pt>
                <pt idx="24">
                  <v>38.602367</v>
                </pt>
                <pt idx="25">
                  <v>38.843721</v>
                </pt>
                <pt idx="26">
                  <v>35.552009</v>
                </pt>
                <pt idx="27">
                  <v>34.622693</v>
                </pt>
                <pt idx="28">
                  <v>33.979897</v>
                </pt>
                <pt idx="29">
                  <v>31.091606</v>
                </pt>
                <pt idx="30">
                  <v>29.341486</v>
                </pt>
                <pt idx="31">
                  <v>29.627735</v>
                </pt>
                <pt idx="32">
                  <v>31.441161</v>
                </pt>
                <pt idx="33">
                  <v>31.39923</v>
                </pt>
                <pt idx="34">
                  <v>32.907506</v>
                </pt>
                <pt idx="35">
                  <v>31.456411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Графики!$AQ$4</f>
              <strCache>
                <ptCount val="1"/>
                <pt idx="0">
                  <v>КПД, %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5"/>
        <minorUnit val="5"/>
      </valAx>
    </plotArea>
    <legend>
      <legendPos val="r"/>
      <layout>
        <manualLayout>
          <xMode val="edge"/>
          <yMode val="edge"/>
          <wMode val="factor"/>
          <hMode val="factor"/>
          <x val="0.19638830977774"/>
          <y val="0.5344852342446579"/>
          <w val="0.3318718957435559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92</row>
      <rowOff>0</rowOff>
    </from>
    <to>
      <col>7</col>
      <colOff>389254</colOff>
      <row>103</row>
      <rowOff>63482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92</row>
      <rowOff>0</rowOff>
    </from>
    <to>
      <col>13</col>
      <colOff>389254</colOff>
      <row>103</row>
      <rowOff>63482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18</col>
      <colOff>0</colOff>
      <row>92</row>
      <rowOff>0</rowOff>
    </from>
    <to>
      <col>23</col>
      <colOff>389254</colOff>
      <row>103</row>
      <rowOff>63482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24</col>
      <colOff>0</colOff>
      <row>92</row>
      <rowOff>0</rowOff>
    </from>
    <to>
      <col>29</col>
      <colOff>389254</colOff>
      <row>103</row>
      <rowOff>63482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35</col>
      <colOff>0</colOff>
      <row>92</row>
      <rowOff>0</rowOff>
    </from>
    <to>
      <col>40</col>
      <colOff>389255</colOff>
      <row>103</row>
      <rowOff>63482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41</col>
      <colOff>0</colOff>
      <row>92</row>
      <rowOff>0</rowOff>
    </from>
    <to>
      <col>46</col>
      <colOff>389255</colOff>
      <row>103</row>
      <rowOff>63482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91"/>
  <sheetViews>
    <sheetView tabSelected="1" zoomScale="112" zoomScaleNormal="150" workbookViewId="0">
      <selection activeCell="F3" sqref="F3"/>
    </sheetView>
  </sheetViews>
  <sheetFormatPr baseColWidth="10" defaultColWidth="8.83203125" defaultRowHeight="15"/>
  <cols>
    <col width="12.33203125" customWidth="1" min="1" max="1"/>
    <col width="12.5" customWidth="1" min="2" max="2"/>
    <col width="7.5" customWidth="1" min="3" max="50"/>
  </cols>
  <sheetData>
    <row r="1">
      <c r="A1" s="1" t="inlineStr">
        <is>
          <t>iPA-64-F (R086W2-2)</t>
        </is>
      </c>
    </row>
    <row r="2">
      <c r="A2" s="1" t="inlineStr">
        <is>
          <t>28 В, 0,65 А, Pвх=17 дБм, Н.Р.</t>
        </is>
      </c>
    </row>
    <row r="3">
      <c r="A3" s="1" t="n"/>
    </row>
    <row r="4" ht="41.25" customHeight="1">
      <c r="A4" s="19" t="inlineStr">
        <is>
          <t>Частота, Гц</t>
        </is>
      </c>
      <c r="B4" s="19" t="inlineStr">
        <is>
          <t>Частота, ГГц</t>
        </is>
      </c>
      <c r="C4" s="15" t="inlineStr">
        <is>
          <t>Pвых, Вт</t>
        </is>
      </c>
      <c r="D4" s="16" t="n"/>
      <c r="E4" s="16" t="n"/>
      <c r="F4" s="16" t="n"/>
      <c r="G4" s="16" t="n"/>
      <c r="H4" s="16" t="n"/>
      <c r="I4" s="16" t="n"/>
      <c r="J4" s="16" t="n"/>
      <c r="K4" s="21" t="inlineStr">
        <is>
          <t>Pвых, дБм</t>
        </is>
      </c>
      <c r="L4" s="16" t="n"/>
      <c r="M4" s="16" t="n"/>
      <c r="N4" s="16" t="n"/>
      <c r="O4" s="16" t="n"/>
      <c r="P4" s="16" t="n"/>
      <c r="Q4" s="16" t="n"/>
      <c r="R4" s="16" t="n"/>
      <c r="S4" s="22" t="inlineStr">
        <is>
          <t>Id, А</t>
        </is>
      </c>
      <c r="T4" s="16" t="n"/>
      <c r="U4" s="16" t="n"/>
      <c r="V4" s="16" t="n"/>
      <c r="W4" s="16" t="n"/>
      <c r="X4" s="16" t="n"/>
      <c r="Y4" s="16" t="n"/>
      <c r="Z4" s="18" t="n"/>
      <c r="AA4" s="17" t="inlineStr">
        <is>
          <t>Ig, мА</t>
        </is>
      </c>
      <c r="AB4" s="16" t="n"/>
      <c r="AC4" s="16" t="n"/>
      <c r="AD4" s="16" t="n"/>
      <c r="AE4" s="16" t="n"/>
      <c r="AF4" s="16" t="n"/>
      <c r="AG4" s="16" t="n"/>
      <c r="AH4" s="18" t="n"/>
      <c r="AI4" s="15" t="inlineStr">
        <is>
          <t>Ку, дБ</t>
        </is>
      </c>
      <c r="AJ4" s="16" t="n"/>
      <c r="AK4" s="16" t="n"/>
      <c r="AL4" s="16" t="n"/>
      <c r="AM4" s="16" t="n"/>
      <c r="AN4" s="16" t="n"/>
      <c r="AO4" s="16" t="n"/>
      <c r="AP4" s="16" t="n"/>
      <c r="AQ4" s="17" t="inlineStr">
        <is>
          <t>КПД, %</t>
        </is>
      </c>
      <c r="AR4" s="16" t="n"/>
      <c r="AS4" s="16" t="n"/>
      <c r="AT4" s="16" t="n"/>
      <c r="AU4" s="16" t="n"/>
      <c r="AV4" s="16" t="n"/>
      <c r="AW4" s="16" t="n"/>
      <c r="AX4" s="18" t="n"/>
    </row>
    <row r="5" ht="30.75" customFormat="1" customHeight="1" s="2">
      <c r="A5" s="20" t="n"/>
      <c r="B5" s="20" t="n"/>
      <c r="C5" s="13" t="inlineStr">
        <is>
          <t>№1</t>
        </is>
      </c>
      <c r="D5" s="13" t="inlineStr">
        <is>
          <t>NiPA-62-F_UG_1__2026-03-24_11-4</t>
        </is>
      </c>
      <c r="E5" s="13" t="inlineStr">
        <is>
          <t>NiPA-62-F_UG_2__2026-03-24_11-5</t>
        </is>
      </c>
      <c r="F5" s="13" t="inlineStr">
        <is>
          <t>NiPA-62-F_UG_3__2026-03-24_13-0</t>
        </is>
      </c>
      <c r="G5" s="13" t="inlineStr">
        <is>
          <t>NiPA-62-F_UG_4__2026-03-24_13-1</t>
        </is>
      </c>
      <c r="H5" s="13" t="inlineStr">
        <is>
          <t>NiPA-62-F_UG_5__2026-03-24_13-2</t>
        </is>
      </c>
      <c r="I5" s="13" t="inlineStr">
        <is>
          <t>NiPA-62-F_UG_6__2026-03-24_13-2</t>
        </is>
      </c>
      <c r="J5" s="13" t="inlineStr">
        <is>
          <t>NiPA-62-F_UG_7__2026-03-24_13-3</t>
        </is>
      </c>
      <c r="K5" s="10">
        <f>C5</f>
        <v/>
      </c>
      <c r="L5" s="10">
        <f>D5</f>
        <v/>
      </c>
      <c r="M5" s="10">
        <f>E5</f>
        <v/>
      </c>
      <c r="N5" s="10">
        <f>F5</f>
        <v/>
      </c>
      <c r="O5" s="10">
        <f>G5</f>
        <v/>
      </c>
      <c r="P5" s="10">
        <f>H5</f>
        <v/>
      </c>
      <c r="Q5" s="10">
        <f>I5</f>
        <v/>
      </c>
      <c r="R5" s="10">
        <f>J5</f>
        <v/>
      </c>
      <c r="S5" s="12">
        <f>C5</f>
        <v/>
      </c>
      <c r="T5" s="12">
        <f>D5</f>
        <v/>
      </c>
      <c r="U5" s="12">
        <f>E5</f>
        <v/>
      </c>
      <c r="V5" s="12">
        <f>F5</f>
        <v/>
      </c>
      <c r="W5" s="12">
        <f>G5</f>
        <v/>
      </c>
      <c r="X5" s="12">
        <f>H5</f>
        <v/>
      </c>
      <c r="Y5" s="12">
        <f>I5</f>
        <v/>
      </c>
      <c r="Z5" s="12">
        <f>J5</f>
        <v/>
      </c>
      <c r="AA5" s="10">
        <f>C5</f>
        <v/>
      </c>
      <c r="AB5" s="10">
        <f>D5</f>
        <v/>
      </c>
      <c r="AC5" s="10">
        <f>E5</f>
        <v/>
      </c>
      <c r="AD5" s="10">
        <f>F5</f>
        <v/>
      </c>
      <c r="AE5" s="10">
        <f>G5</f>
        <v/>
      </c>
      <c r="AF5" s="10">
        <f>H5</f>
        <v/>
      </c>
      <c r="AG5" s="10">
        <f>I5</f>
        <v/>
      </c>
      <c r="AH5" s="10">
        <f>J5</f>
        <v/>
      </c>
      <c r="AI5" s="11">
        <f>C5</f>
        <v/>
      </c>
      <c r="AJ5" s="11">
        <f>D5</f>
        <v/>
      </c>
      <c r="AK5" s="11">
        <f>E5</f>
        <v/>
      </c>
      <c r="AL5" s="11">
        <f>F5</f>
        <v/>
      </c>
      <c r="AM5" s="11">
        <f>G5</f>
        <v/>
      </c>
      <c r="AN5" s="11">
        <f>H5</f>
        <v/>
      </c>
      <c r="AO5" s="11">
        <f>I5</f>
        <v/>
      </c>
      <c r="AP5" s="11">
        <f>J5</f>
        <v/>
      </c>
      <c r="AQ5" s="10">
        <f>C5</f>
        <v/>
      </c>
      <c r="AR5" s="10">
        <f>D5</f>
        <v/>
      </c>
      <c r="AS5" s="10">
        <f>E5</f>
        <v/>
      </c>
      <c r="AT5" s="10">
        <f>F5</f>
        <v/>
      </c>
      <c r="AU5" s="10">
        <f>G5</f>
        <v/>
      </c>
      <c r="AV5" s="10">
        <f>H5</f>
        <v/>
      </c>
      <c r="AW5" s="10">
        <f>I5</f>
        <v/>
      </c>
      <c r="AX5" s="10">
        <f>J5</f>
        <v/>
      </c>
    </row>
    <row r="6">
      <c r="A6" s="4">
        <f>'NiPA-62-F_UG_7__2026-03-24_13-3'!B11</f>
        <v/>
      </c>
      <c r="B6" s="4">
        <f>A6/1000000000</f>
        <v/>
      </c>
      <c r="C6" s="5">
        <f>№1!U11</f>
        <v/>
      </c>
      <c r="D6" s="5">
        <f>'NiPA-62-F_UG_1__2026-03-24_11-4'!U11</f>
        <v/>
      </c>
      <c r="E6" s="5">
        <f>'NiPA-62-F_UG_2__2026-03-24_11-5'!U11</f>
        <v/>
      </c>
      <c r="F6" s="5">
        <f>'NiPA-62-F_UG_3__2026-03-24_13-0'!U11</f>
        <v/>
      </c>
      <c r="G6" s="5">
        <f>'NiPA-62-F_UG_4__2026-03-24_13-1'!U11</f>
        <v/>
      </c>
      <c r="H6" s="5">
        <f>'NiPA-62-F_UG_5__2026-03-24_13-2'!U11</f>
        <v/>
      </c>
      <c r="I6" s="5">
        <f>'NiPA-62-F_UG_6__2026-03-24_13-2'!U11</f>
        <v/>
      </c>
      <c r="J6" s="5">
        <f>'NiPA-62-F_UG_7__2026-03-24_13-3'!U11</f>
        <v/>
      </c>
      <c r="K6" s="6">
        <f>№1!P11</f>
        <v/>
      </c>
      <c r="L6" s="6">
        <f>'NiPA-62-F_UG_1__2026-03-24_11-4'!P11</f>
        <v/>
      </c>
      <c r="M6" s="6">
        <f>'NiPA-62-F_UG_2__2026-03-24_11-5'!P11</f>
        <v/>
      </c>
      <c r="N6" s="6">
        <f>'NiPA-62-F_UG_3__2026-03-24_13-0'!P11</f>
        <v/>
      </c>
      <c r="O6" s="6">
        <f>'NiPA-62-F_UG_4__2026-03-24_13-1'!P11</f>
        <v/>
      </c>
      <c r="P6" s="6">
        <f>'NiPA-62-F_UG_5__2026-03-24_13-2'!P11</f>
        <v/>
      </c>
      <c r="Q6" s="6">
        <f>'NiPA-62-F_UG_6__2026-03-24_13-2'!P11</f>
        <v/>
      </c>
      <c r="R6" s="6">
        <f>'NiPA-62-F_UG_7__2026-03-24_13-3'!P11</f>
        <v/>
      </c>
      <c r="S6" s="5">
        <f>№1!R11</f>
        <v/>
      </c>
      <c r="T6" s="5">
        <f>'NiPA-62-F_UG_1__2026-03-24_11-4'!R11</f>
        <v/>
      </c>
      <c r="U6" s="5">
        <f>'NiPA-62-F_UG_2__2026-03-24_11-5'!R11</f>
        <v/>
      </c>
      <c r="V6" s="5">
        <f>'NiPA-62-F_UG_3__2026-03-24_13-0'!R11</f>
        <v/>
      </c>
      <c r="W6" s="5">
        <f>'NiPA-62-F_UG_4__2026-03-24_13-1'!R11</f>
        <v/>
      </c>
      <c r="X6" s="5">
        <f>'NiPA-62-F_UG_5__2026-03-24_13-2'!R11</f>
        <v/>
      </c>
      <c r="Y6" s="5">
        <f>'NiPA-62-F_UG_6__2026-03-24_13-2'!R11</f>
        <v/>
      </c>
      <c r="Z6" s="5">
        <f>'NiPA-62-F_UG_7__2026-03-24_13-3'!R11</f>
        <v/>
      </c>
      <c r="AA6" s="6">
        <f>№1!Q11</f>
        <v/>
      </c>
      <c r="AB6" s="6">
        <f>'NiPA-62-F_UG_1__2026-03-24_11-4'!Q11</f>
        <v/>
      </c>
      <c r="AC6" s="6">
        <f>'NiPA-62-F_UG_2__2026-03-24_11-5'!Q11</f>
        <v/>
      </c>
      <c r="AD6" s="6">
        <f>'NiPA-62-F_UG_3__2026-03-24_13-0'!Q11</f>
        <v/>
      </c>
      <c r="AE6" s="6">
        <f>'NiPA-62-F_UG_4__2026-03-24_13-1'!Q11</f>
        <v/>
      </c>
      <c r="AF6" s="6">
        <f>'NiPA-62-F_UG_5__2026-03-24_13-2'!Q11</f>
        <v/>
      </c>
      <c r="AG6" s="6">
        <f>'NiPA-62-F_UG_6__2026-03-24_13-2'!Q11</f>
        <v/>
      </c>
      <c r="AH6" s="6">
        <f>'NiPA-62-F_UG_7__2026-03-24_13-3'!Q11</f>
        <v/>
      </c>
      <c r="AI6" s="5">
        <f>№1!S11</f>
        <v/>
      </c>
      <c r="AJ6" s="5">
        <f>'NiPA-62-F_UG_1__2026-03-24_11-4'!S11</f>
        <v/>
      </c>
      <c r="AK6" s="5">
        <f>'NiPA-62-F_UG_2__2026-03-24_11-5'!S11</f>
        <v/>
      </c>
      <c r="AL6" s="5">
        <f>'NiPA-62-F_UG_3__2026-03-24_13-0'!S11</f>
        <v/>
      </c>
      <c r="AM6" s="5">
        <f>'NiPA-62-F_UG_4__2026-03-24_13-1'!S11</f>
        <v/>
      </c>
      <c r="AN6" s="5">
        <f>'NiPA-62-F_UG_5__2026-03-24_13-2'!S11</f>
        <v/>
      </c>
      <c r="AO6" s="5">
        <f>'NiPA-62-F_UG_6__2026-03-24_13-2'!S11</f>
        <v/>
      </c>
      <c r="AP6" s="5">
        <f>'NiPA-62-F_UG_7__2026-03-24_13-3'!S11</f>
        <v/>
      </c>
      <c r="AQ6" s="6">
        <f>№1!T11</f>
        <v/>
      </c>
      <c r="AR6" s="6">
        <f>'NiPA-62-F_UG_1__2026-03-24_11-4'!T11</f>
        <v/>
      </c>
      <c r="AS6" s="6">
        <f>'NiPA-62-F_UG_2__2026-03-24_11-5'!T11</f>
        <v/>
      </c>
      <c r="AT6" s="6">
        <f>'NiPA-62-F_UG_3__2026-03-24_13-0'!T11</f>
        <v/>
      </c>
      <c r="AU6" s="6">
        <f>'NiPA-62-F_UG_4__2026-03-24_13-1'!T11</f>
        <v/>
      </c>
      <c r="AV6" s="6">
        <f>'NiPA-62-F_UG_5__2026-03-24_13-2'!T11</f>
        <v/>
      </c>
      <c r="AW6" s="6">
        <f>'NiPA-62-F_UG_6__2026-03-24_13-2'!T11</f>
        <v/>
      </c>
      <c r="AX6" s="6">
        <f>'NiPA-62-F_UG_7__2026-03-24_13-3'!T11</f>
        <v/>
      </c>
    </row>
    <row r="7">
      <c r="A7" s="3">
        <f>'NiPA-62-F_UG_7__2026-03-24_13-3'!B12</f>
        <v/>
      </c>
      <c r="B7" s="4">
        <f>A7/1000000000</f>
        <v/>
      </c>
      <c r="C7" s="5">
        <f>№1!U12</f>
        <v/>
      </c>
      <c r="D7" s="5">
        <f>'NiPA-62-F_UG_1__2026-03-24_11-4'!U12</f>
        <v/>
      </c>
      <c r="E7" s="5">
        <f>'NiPA-62-F_UG_2__2026-03-24_11-5'!U12</f>
        <v/>
      </c>
      <c r="F7" s="5">
        <f>'NiPA-62-F_UG_3__2026-03-24_13-0'!U12</f>
        <v/>
      </c>
      <c r="G7" s="5">
        <f>'NiPA-62-F_UG_4__2026-03-24_13-1'!U12</f>
        <v/>
      </c>
      <c r="H7" s="5">
        <f>'NiPA-62-F_UG_5__2026-03-24_13-2'!U12</f>
        <v/>
      </c>
      <c r="I7" s="5">
        <f>'NiPA-62-F_UG_6__2026-03-24_13-2'!U12</f>
        <v/>
      </c>
      <c r="J7" s="5">
        <f>'NiPA-62-F_UG_7__2026-03-24_13-3'!U12</f>
        <v/>
      </c>
      <c r="K7" s="6">
        <f>№1!P12</f>
        <v/>
      </c>
      <c r="L7" s="6">
        <f>'NiPA-62-F_UG_1__2026-03-24_11-4'!P12</f>
        <v/>
      </c>
      <c r="M7" s="6">
        <f>'NiPA-62-F_UG_2__2026-03-24_11-5'!P12</f>
        <v/>
      </c>
      <c r="N7" s="6">
        <f>'NiPA-62-F_UG_3__2026-03-24_13-0'!P12</f>
        <v/>
      </c>
      <c r="O7" s="6">
        <f>'NiPA-62-F_UG_4__2026-03-24_13-1'!P12</f>
        <v/>
      </c>
      <c r="P7" s="6">
        <f>'NiPA-62-F_UG_5__2026-03-24_13-2'!P12</f>
        <v/>
      </c>
      <c r="Q7" s="6">
        <f>'NiPA-62-F_UG_6__2026-03-24_13-2'!P12</f>
        <v/>
      </c>
      <c r="R7" s="6">
        <f>'NiPA-62-F_UG_7__2026-03-24_13-3'!P12</f>
        <v/>
      </c>
      <c r="S7" s="5">
        <f>№1!R12</f>
        <v/>
      </c>
      <c r="T7" s="5">
        <f>'NiPA-62-F_UG_1__2026-03-24_11-4'!R12</f>
        <v/>
      </c>
      <c r="U7" s="5">
        <f>'NiPA-62-F_UG_2__2026-03-24_11-5'!R12</f>
        <v/>
      </c>
      <c r="V7" s="5">
        <f>'NiPA-62-F_UG_3__2026-03-24_13-0'!R12</f>
        <v/>
      </c>
      <c r="W7" s="5">
        <f>'NiPA-62-F_UG_4__2026-03-24_13-1'!R12</f>
        <v/>
      </c>
      <c r="X7" s="5">
        <f>'NiPA-62-F_UG_5__2026-03-24_13-2'!R12</f>
        <v/>
      </c>
      <c r="Y7" s="5">
        <f>'NiPA-62-F_UG_6__2026-03-24_13-2'!R12</f>
        <v/>
      </c>
      <c r="Z7" s="5">
        <f>'NiPA-62-F_UG_7__2026-03-24_13-3'!R12</f>
        <v/>
      </c>
      <c r="AA7" s="6">
        <f>№1!Q12</f>
        <v/>
      </c>
      <c r="AB7" s="6">
        <f>'NiPA-62-F_UG_1__2026-03-24_11-4'!Q12</f>
        <v/>
      </c>
      <c r="AC7" s="6">
        <f>'NiPA-62-F_UG_2__2026-03-24_11-5'!Q12</f>
        <v/>
      </c>
      <c r="AD7" s="6">
        <f>'NiPA-62-F_UG_3__2026-03-24_13-0'!Q12</f>
        <v/>
      </c>
      <c r="AE7" s="6">
        <f>'NiPA-62-F_UG_4__2026-03-24_13-1'!Q12</f>
        <v/>
      </c>
      <c r="AF7" s="6">
        <f>'NiPA-62-F_UG_5__2026-03-24_13-2'!Q12</f>
        <v/>
      </c>
      <c r="AG7" s="6">
        <f>'NiPA-62-F_UG_6__2026-03-24_13-2'!Q12</f>
        <v/>
      </c>
      <c r="AH7" s="6">
        <f>'NiPA-62-F_UG_7__2026-03-24_13-3'!Q12</f>
        <v/>
      </c>
      <c r="AI7" s="5">
        <f>№1!S12</f>
        <v/>
      </c>
      <c r="AJ7" s="5">
        <f>'NiPA-62-F_UG_1__2026-03-24_11-4'!S12</f>
        <v/>
      </c>
      <c r="AK7" s="5">
        <f>'NiPA-62-F_UG_2__2026-03-24_11-5'!S12</f>
        <v/>
      </c>
      <c r="AL7" s="5">
        <f>'NiPA-62-F_UG_3__2026-03-24_13-0'!S12</f>
        <v/>
      </c>
      <c r="AM7" s="5">
        <f>'NiPA-62-F_UG_4__2026-03-24_13-1'!S12</f>
        <v/>
      </c>
      <c r="AN7" s="5">
        <f>'NiPA-62-F_UG_5__2026-03-24_13-2'!S12</f>
        <v/>
      </c>
      <c r="AO7" s="5">
        <f>'NiPA-62-F_UG_6__2026-03-24_13-2'!S12</f>
        <v/>
      </c>
      <c r="AP7" s="5">
        <f>'NiPA-62-F_UG_7__2026-03-24_13-3'!S12</f>
        <v/>
      </c>
      <c r="AQ7" s="6">
        <f>№1!T12</f>
        <v/>
      </c>
      <c r="AR7" s="6">
        <f>'NiPA-62-F_UG_1__2026-03-24_11-4'!T12</f>
        <v/>
      </c>
      <c r="AS7" s="6">
        <f>'NiPA-62-F_UG_2__2026-03-24_11-5'!T12</f>
        <v/>
      </c>
      <c r="AT7" s="6">
        <f>'NiPA-62-F_UG_3__2026-03-24_13-0'!T12</f>
        <v/>
      </c>
      <c r="AU7" s="6">
        <f>'NiPA-62-F_UG_4__2026-03-24_13-1'!T12</f>
        <v/>
      </c>
      <c r="AV7" s="6">
        <f>'NiPA-62-F_UG_5__2026-03-24_13-2'!T12</f>
        <v/>
      </c>
      <c r="AW7" s="6">
        <f>'NiPA-62-F_UG_6__2026-03-24_13-2'!T12</f>
        <v/>
      </c>
      <c r="AX7" s="6">
        <f>'NiPA-62-F_UG_7__2026-03-24_13-3'!T12</f>
        <v/>
      </c>
    </row>
    <row r="8">
      <c r="A8" s="4">
        <f>'NiPA-62-F_UG_7__2026-03-24_13-3'!B13</f>
        <v/>
      </c>
      <c r="B8" s="4">
        <f>A8/1000000000</f>
        <v/>
      </c>
      <c r="C8" s="5">
        <f>№1!U13</f>
        <v/>
      </c>
      <c r="D8" s="5">
        <f>'NiPA-62-F_UG_1__2026-03-24_11-4'!U13</f>
        <v/>
      </c>
      <c r="E8" s="5">
        <f>'NiPA-62-F_UG_2__2026-03-24_11-5'!U13</f>
        <v/>
      </c>
      <c r="F8" s="5">
        <f>'NiPA-62-F_UG_3__2026-03-24_13-0'!U13</f>
        <v/>
      </c>
      <c r="G8" s="5">
        <f>'NiPA-62-F_UG_4__2026-03-24_13-1'!U13</f>
        <v/>
      </c>
      <c r="H8" s="5">
        <f>'NiPA-62-F_UG_5__2026-03-24_13-2'!U13</f>
        <v/>
      </c>
      <c r="I8" s="5">
        <f>'NiPA-62-F_UG_6__2026-03-24_13-2'!U13</f>
        <v/>
      </c>
      <c r="J8" s="5">
        <f>'NiPA-62-F_UG_7__2026-03-24_13-3'!U13</f>
        <v/>
      </c>
      <c r="K8" s="6">
        <f>№1!P13</f>
        <v/>
      </c>
      <c r="L8" s="6">
        <f>'NiPA-62-F_UG_1__2026-03-24_11-4'!P13</f>
        <v/>
      </c>
      <c r="M8" s="6">
        <f>'NiPA-62-F_UG_2__2026-03-24_11-5'!P13</f>
        <v/>
      </c>
      <c r="N8" s="6">
        <f>'NiPA-62-F_UG_3__2026-03-24_13-0'!P13</f>
        <v/>
      </c>
      <c r="O8" s="6">
        <f>'NiPA-62-F_UG_4__2026-03-24_13-1'!P13</f>
        <v/>
      </c>
      <c r="P8" s="6">
        <f>'NiPA-62-F_UG_5__2026-03-24_13-2'!P13</f>
        <v/>
      </c>
      <c r="Q8" s="6">
        <f>'NiPA-62-F_UG_6__2026-03-24_13-2'!P13</f>
        <v/>
      </c>
      <c r="R8" s="6">
        <f>'NiPA-62-F_UG_7__2026-03-24_13-3'!P13</f>
        <v/>
      </c>
      <c r="S8" s="5">
        <f>№1!R13</f>
        <v/>
      </c>
      <c r="T8" s="5">
        <f>'NiPA-62-F_UG_1__2026-03-24_11-4'!R13</f>
        <v/>
      </c>
      <c r="U8" s="5">
        <f>'NiPA-62-F_UG_2__2026-03-24_11-5'!R13</f>
        <v/>
      </c>
      <c r="V8" s="5">
        <f>'NiPA-62-F_UG_3__2026-03-24_13-0'!R13</f>
        <v/>
      </c>
      <c r="W8" s="5">
        <f>'NiPA-62-F_UG_4__2026-03-24_13-1'!R13</f>
        <v/>
      </c>
      <c r="X8" s="5">
        <f>'NiPA-62-F_UG_5__2026-03-24_13-2'!R13</f>
        <v/>
      </c>
      <c r="Y8" s="5">
        <f>'NiPA-62-F_UG_6__2026-03-24_13-2'!R13</f>
        <v/>
      </c>
      <c r="Z8" s="5">
        <f>'NiPA-62-F_UG_7__2026-03-24_13-3'!R13</f>
        <v/>
      </c>
      <c r="AA8" s="6">
        <f>№1!Q13</f>
        <v/>
      </c>
      <c r="AB8" s="6">
        <f>'NiPA-62-F_UG_1__2026-03-24_11-4'!Q13</f>
        <v/>
      </c>
      <c r="AC8" s="6">
        <f>'NiPA-62-F_UG_2__2026-03-24_11-5'!Q13</f>
        <v/>
      </c>
      <c r="AD8" s="6">
        <f>'NiPA-62-F_UG_3__2026-03-24_13-0'!Q13</f>
        <v/>
      </c>
      <c r="AE8" s="6">
        <f>'NiPA-62-F_UG_4__2026-03-24_13-1'!Q13</f>
        <v/>
      </c>
      <c r="AF8" s="6">
        <f>'NiPA-62-F_UG_5__2026-03-24_13-2'!Q13</f>
        <v/>
      </c>
      <c r="AG8" s="6">
        <f>'NiPA-62-F_UG_6__2026-03-24_13-2'!Q13</f>
        <v/>
      </c>
      <c r="AH8" s="6">
        <f>'NiPA-62-F_UG_7__2026-03-24_13-3'!Q13</f>
        <v/>
      </c>
      <c r="AI8" s="5">
        <f>№1!S13</f>
        <v/>
      </c>
      <c r="AJ8" s="5">
        <f>'NiPA-62-F_UG_1__2026-03-24_11-4'!S13</f>
        <v/>
      </c>
      <c r="AK8" s="5">
        <f>'NiPA-62-F_UG_2__2026-03-24_11-5'!S13</f>
        <v/>
      </c>
      <c r="AL8" s="5">
        <f>'NiPA-62-F_UG_3__2026-03-24_13-0'!S13</f>
        <v/>
      </c>
      <c r="AM8" s="5">
        <f>'NiPA-62-F_UG_4__2026-03-24_13-1'!S13</f>
        <v/>
      </c>
      <c r="AN8" s="5">
        <f>'NiPA-62-F_UG_5__2026-03-24_13-2'!S13</f>
        <v/>
      </c>
      <c r="AO8" s="5">
        <f>'NiPA-62-F_UG_6__2026-03-24_13-2'!S13</f>
        <v/>
      </c>
      <c r="AP8" s="5">
        <f>'NiPA-62-F_UG_7__2026-03-24_13-3'!S13</f>
        <v/>
      </c>
      <c r="AQ8" s="6">
        <f>№1!T13</f>
        <v/>
      </c>
      <c r="AR8" s="6">
        <f>'NiPA-62-F_UG_1__2026-03-24_11-4'!T13</f>
        <v/>
      </c>
      <c r="AS8" s="6">
        <f>'NiPA-62-F_UG_2__2026-03-24_11-5'!T13</f>
        <v/>
      </c>
      <c r="AT8" s="6">
        <f>'NiPA-62-F_UG_3__2026-03-24_13-0'!T13</f>
        <v/>
      </c>
      <c r="AU8" s="6">
        <f>'NiPA-62-F_UG_4__2026-03-24_13-1'!T13</f>
        <v/>
      </c>
      <c r="AV8" s="6">
        <f>'NiPA-62-F_UG_5__2026-03-24_13-2'!T13</f>
        <v/>
      </c>
      <c r="AW8" s="6">
        <f>'NiPA-62-F_UG_6__2026-03-24_13-2'!T13</f>
        <v/>
      </c>
      <c r="AX8" s="6">
        <f>'NiPA-62-F_UG_7__2026-03-24_13-3'!T13</f>
        <v/>
      </c>
    </row>
    <row r="9">
      <c r="A9" s="3">
        <f>'NiPA-62-F_UG_7__2026-03-24_13-3'!B14</f>
        <v/>
      </c>
      <c r="B9" s="4">
        <f>A9/1000000000</f>
        <v/>
      </c>
      <c r="C9" s="5">
        <f>№1!U14</f>
        <v/>
      </c>
      <c r="D9" s="5">
        <f>'NiPA-62-F_UG_1__2026-03-24_11-4'!U14</f>
        <v/>
      </c>
      <c r="E9" s="5">
        <f>'NiPA-62-F_UG_2__2026-03-24_11-5'!U14</f>
        <v/>
      </c>
      <c r="F9" s="5">
        <f>'NiPA-62-F_UG_3__2026-03-24_13-0'!U14</f>
        <v/>
      </c>
      <c r="G9" s="5">
        <f>'NiPA-62-F_UG_4__2026-03-24_13-1'!U14</f>
        <v/>
      </c>
      <c r="H9" s="5">
        <f>'NiPA-62-F_UG_5__2026-03-24_13-2'!U14</f>
        <v/>
      </c>
      <c r="I9" s="5">
        <f>'NiPA-62-F_UG_6__2026-03-24_13-2'!U14</f>
        <v/>
      </c>
      <c r="J9" s="5">
        <f>'NiPA-62-F_UG_7__2026-03-24_13-3'!U14</f>
        <v/>
      </c>
      <c r="K9" s="6">
        <f>№1!P14</f>
        <v/>
      </c>
      <c r="L9" s="6">
        <f>'NiPA-62-F_UG_1__2026-03-24_11-4'!P14</f>
        <v/>
      </c>
      <c r="M9" s="6">
        <f>'NiPA-62-F_UG_2__2026-03-24_11-5'!P14</f>
        <v/>
      </c>
      <c r="N9" s="6">
        <f>'NiPA-62-F_UG_3__2026-03-24_13-0'!P14</f>
        <v/>
      </c>
      <c r="O9" s="6">
        <f>'NiPA-62-F_UG_4__2026-03-24_13-1'!P14</f>
        <v/>
      </c>
      <c r="P9" s="6">
        <f>'NiPA-62-F_UG_5__2026-03-24_13-2'!P14</f>
        <v/>
      </c>
      <c r="Q9" s="6">
        <f>'NiPA-62-F_UG_6__2026-03-24_13-2'!P14</f>
        <v/>
      </c>
      <c r="R9" s="6">
        <f>'NiPA-62-F_UG_7__2026-03-24_13-3'!P14</f>
        <v/>
      </c>
      <c r="S9" s="5">
        <f>№1!R14</f>
        <v/>
      </c>
      <c r="T9" s="5">
        <f>'NiPA-62-F_UG_1__2026-03-24_11-4'!R14</f>
        <v/>
      </c>
      <c r="U9" s="5">
        <f>'NiPA-62-F_UG_2__2026-03-24_11-5'!R14</f>
        <v/>
      </c>
      <c r="V9" s="5">
        <f>'NiPA-62-F_UG_3__2026-03-24_13-0'!R14</f>
        <v/>
      </c>
      <c r="W9" s="5">
        <f>'NiPA-62-F_UG_4__2026-03-24_13-1'!R14</f>
        <v/>
      </c>
      <c r="X9" s="5">
        <f>'NiPA-62-F_UG_5__2026-03-24_13-2'!R14</f>
        <v/>
      </c>
      <c r="Y9" s="5">
        <f>'NiPA-62-F_UG_6__2026-03-24_13-2'!R14</f>
        <v/>
      </c>
      <c r="Z9" s="5">
        <f>'NiPA-62-F_UG_7__2026-03-24_13-3'!R14</f>
        <v/>
      </c>
      <c r="AA9" s="6">
        <f>№1!Q14</f>
        <v/>
      </c>
      <c r="AB9" s="6">
        <f>'NiPA-62-F_UG_1__2026-03-24_11-4'!Q14</f>
        <v/>
      </c>
      <c r="AC9" s="6">
        <f>'NiPA-62-F_UG_2__2026-03-24_11-5'!Q14</f>
        <v/>
      </c>
      <c r="AD9" s="6">
        <f>'NiPA-62-F_UG_3__2026-03-24_13-0'!Q14</f>
        <v/>
      </c>
      <c r="AE9" s="6">
        <f>'NiPA-62-F_UG_4__2026-03-24_13-1'!Q14</f>
        <v/>
      </c>
      <c r="AF9" s="6">
        <f>'NiPA-62-F_UG_5__2026-03-24_13-2'!Q14</f>
        <v/>
      </c>
      <c r="AG9" s="6">
        <f>'NiPA-62-F_UG_6__2026-03-24_13-2'!Q14</f>
        <v/>
      </c>
      <c r="AH9" s="6">
        <f>'NiPA-62-F_UG_7__2026-03-24_13-3'!Q14</f>
        <v/>
      </c>
      <c r="AI9" s="5">
        <f>№1!S14</f>
        <v/>
      </c>
      <c r="AJ9" s="5">
        <f>'NiPA-62-F_UG_1__2026-03-24_11-4'!S14</f>
        <v/>
      </c>
      <c r="AK9" s="5">
        <f>'NiPA-62-F_UG_2__2026-03-24_11-5'!S14</f>
        <v/>
      </c>
      <c r="AL9" s="5">
        <f>'NiPA-62-F_UG_3__2026-03-24_13-0'!S14</f>
        <v/>
      </c>
      <c r="AM9" s="5">
        <f>'NiPA-62-F_UG_4__2026-03-24_13-1'!S14</f>
        <v/>
      </c>
      <c r="AN9" s="5">
        <f>'NiPA-62-F_UG_5__2026-03-24_13-2'!S14</f>
        <v/>
      </c>
      <c r="AO9" s="5">
        <f>'NiPA-62-F_UG_6__2026-03-24_13-2'!S14</f>
        <v/>
      </c>
      <c r="AP9" s="5">
        <f>'NiPA-62-F_UG_7__2026-03-24_13-3'!S14</f>
        <v/>
      </c>
      <c r="AQ9" s="6">
        <f>№1!T14</f>
        <v/>
      </c>
      <c r="AR9" s="6">
        <f>'NiPA-62-F_UG_1__2026-03-24_11-4'!T14</f>
        <v/>
      </c>
      <c r="AS9" s="6">
        <f>'NiPA-62-F_UG_2__2026-03-24_11-5'!T14</f>
        <v/>
      </c>
      <c r="AT9" s="6">
        <f>'NiPA-62-F_UG_3__2026-03-24_13-0'!T14</f>
        <v/>
      </c>
      <c r="AU9" s="6">
        <f>'NiPA-62-F_UG_4__2026-03-24_13-1'!T14</f>
        <v/>
      </c>
      <c r="AV9" s="6">
        <f>'NiPA-62-F_UG_5__2026-03-24_13-2'!T14</f>
        <v/>
      </c>
      <c r="AW9" s="6">
        <f>'NiPA-62-F_UG_6__2026-03-24_13-2'!T14</f>
        <v/>
      </c>
      <c r="AX9" s="6">
        <f>'NiPA-62-F_UG_7__2026-03-24_13-3'!T14</f>
        <v/>
      </c>
    </row>
    <row r="10">
      <c r="A10" s="4">
        <f>'NiPA-62-F_UG_7__2026-03-24_13-3'!B15</f>
        <v/>
      </c>
      <c r="B10" s="4">
        <f>A10/1000000000</f>
        <v/>
      </c>
      <c r="C10" s="5">
        <f>№1!U15</f>
        <v/>
      </c>
      <c r="D10" s="5">
        <f>'NiPA-62-F_UG_1__2026-03-24_11-4'!U15</f>
        <v/>
      </c>
      <c r="E10" s="5">
        <f>'NiPA-62-F_UG_2__2026-03-24_11-5'!U15</f>
        <v/>
      </c>
      <c r="F10" s="5">
        <f>'NiPA-62-F_UG_3__2026-03-24_13-0'!U15</f>
        <v/>
      </c>
      <c r="G10" s="5">
        <f>'NiPA-62-F_UG_4__2026-03-24_13-1'!U15</f>
        <v/>
      </c>
      <c r="H10" s="5">
        <f>'NiPA-62-F_UG_5__2026-03-24_13-2'!U15</f>
        <v/>
      </c>
      <c r="I10" s="5">
        <f>'NiPA-62-F_UG_6__2026-03-24_13-2'!U15</f>
        <v/>
      </c>
      <c r="J10" s="5">
        <f>'NiPA-62-F_UG_7__2026-03-24_13-3'!U15</f>
        <v/>
      </c>
      <c r="K10" s="6">
        <f>№1!P15</f>
        <v/>
      </c>
      <c r="L10" s="6">
        <f>'NiPA-62-F_UG_1__2026-03-24_11-4'!P15</f>
        <v/>
      </c>
      <c r="M10" s="6">
        <f>'NiPA-62-F_UG_2__2026-03-24_11-5'!P15</f>
        <v/>
      </c>
      <c r="N10" s="6">
        <f>'NiPA-62-F_UG_3__2026-03-24_13-0'!P15</f>
        <v/>
      </c>
      <c r="O10" s="6">
        <f>'NiPA-62-F_UG_4__2026-03-24_13-1'!P15</f>
        <v/>
      </c>
      <c r="P10" s="6">
        <f>'NiPA-62-F_UG_5__2026-03-24_13-2'!P15</f>
        <v/>
      </c>
      <c r="Q10" s="6">
        <f>'NiPA-62-F_UG_6__2026-03-24_13-2'!P15</f>
        <v/>
      </c>
      <c r="R10" s="6">
        <f>'NiPA-62-F_UG_7__2026-03-24_13-3'!P15</f>
        <v/>
      </c>
      <c r="S10" s="5">
        <f>№1!R15</f>
        <v/>
      </c>
      <c r="T10" s="5">
        <f>'NiPA-62-F_UG_1__2026-03-24_11-4'!R15</f>
        <v/>
      </c>
      <c r="U10" s="5">
        <f>'NiPA-62-F_UG_2__2026-03-24_11-5'!R15</f>
        <v/>
      </c>
      <c r="V10" s="5">
        <f>'NiPA-62-F_UG_3__2026-03-24_13-0'!R15</f>
        <v/>
      </c>
      <c r="W10" s="5">
        <f>'NiPA-62-F_UG_4__2026-03-24_13-1'!R15</f>
        <v/>
      </c>
      <c r="X10" s="5">
        <f>'NiPA-62-F_UG_5__2026-03-24_13-2'!R15</f>
        <v/>
      </c>
      <c r="Y10" s="5">
        <f>'NiPA-62-F_UG_6__2026-03-24_13-2'!R15</f>
        <v/>
      </c>
      <c r="Z10" s="5">
        <f>'NiPA-62-F_UG_7__2026-03-24_13-3'!R15</f>
        <v/>
      </c>
      <c r="AA10" s="6">
        <f>№1!Q15</f>
        <v/>
      </c>
      <c r="AB10" s="6">
        <f>'NiPA-62-F_UG_1__2026-03-24_11-4'!Q15</f>
        <v/>
      </c>
      <c r="AC10" s="6">
        <f>'NiPA-62-F_UG_2__2026-03-24_11-5'!Q15</f>
        <v/>
      </c>
      <c r="AD10" s="6">
        <f>'NiPA-62-F_UG_3__2026-03-24_13-0'!Q15</f>
        <v/>
      </c>
      <c r="AE10" s="6">
        <f>'NiPA-62-F_UG_4__2026-03-24_13-1'!Q15</f>
        <v/>
      </c>
      <c r="AF10" s="6">
        <f>'NiPA-62-F_UG_5__2026-03-24_13-2'!Q15</f>
        <v/>
      </c>
      <c r="AG10" s="6">
        <f>'NiPA-62-F_UG_6__2026-03-24_13-2'!Q15</f>
        <v/>
      </c>
      <c r="AH10" s="6">
        <f>'NiPA-62-F_UG_7__2026-03-24_13-3'!Q15</f>
        <v/>
      </c>
      <c r="AI10" s="5">
        <f>№1!S15</f>
        <v/>
      </c>
      <c r="AJ10" s="5">
        <f>'NiPA-62-F_UG_1__2026-03-24_11-4'!S15</f>
        <v/>
      </c>
      <c r="AK10" s="5">
        <f>'NiPA-62-F_UG_2__2026-03-24_11-5'!S15</f>
        <v/>
      </c>
      <c r="AL10" s="5">
        <f>'NiPA-62-F_UG_3__2026-03-24_13-0'!S15</f>
        <v/>
      </c>
      <c r="AM10" s="5">
        <f>'NiPA-62-F_UG_4__2026-03-24_13-1'!S15</f>
        <v/>
      </c>
      <c r="AN10" s="5">
        <f>'NiPA-62-F_UG_5__2026-03-24_13-2'!S15</f>
        <v/>
      </c>
      <c r="AO10" s="5">
        <f>'NiPA-62-F_UG_6__2026-03-24_13-2'!S15</f>
        <v/>
      </c>
      <c r="AP10" s="5">
        <f>'NiPA-62-F_UG_7__2026-03-24_13-3'!S15</f>
        <v/>
      </c>
      <c r="AQ10" s="6">
        <f>№1!T15</f>
        <v/>
      </c>
      <c r="AR10" s="6">
        <f>'NiPA-62-F_UG_1__2026-03-24_11-4'!T15</f>
        <v/>
      </c>
      <c r="AS10" s="6">
        <f>'NiPA-62-F_UG_2__2026-03-24_11-5'!T15</f>
        <v/>
      </c>
      <c r="AT10" s="6">
        <f>'NiPA-62-F_UG_3__2026-03-24_13-0'!T15</f>
        <v/>
      </c>
      <c r="AU10" s="6">
        <f>'NiPA-62-F_UG_4__2026-03-24_13-1'!T15</f>
        <v/>
      </c>
      <c r="AV10" s="6">
        <f>'NiPA-62-F_UG_5__2026-03-24_13-2'!T15</f>
        <v/>
      </c>
      <c r="AW10" s="6">
        <f>'NiPA-62-F_UG_6__2026-03-24_13-2'!T15</f>
        <v/>
      </c>
      <c r="AX10" s="6">
        <f>'NiPA-62-F_UG_7__2026-03-24_13-3'!T15</f>
        <v/>
      </c>
    </row>
    <row r="11">
      <c r="A11" s="3">
        <f>'NiPA-62-F_UG_7__2026-03-24_13-3'!B16</f>
        <v/>
      </c>
      <c r="B11" s="4">
        <f>A11/1000000000</f>
        <v/>
      </c>
      <c r="C11" s="5">
        <f>№1!U16</f>
        <v/>
      </c>
      <c r="D11" s="5">
        <f>'NiPA-62-F_UG_1__2026-03-24_11-4'!U16</f>
        <v/>
      </c>
      <c r="E11" s="5">
        <f>'NiPA-62-F_UG_2__2026-03-24_11-5'!U16</f>
        <v/>
      </c>
      <c r="F11" s="5">
        <f>'NiPA-62-F_UG_3__2026-03-24_13-0'!U16</f>
        <v/>
      </c>
      <c r="G11" s="5">
        <f>'NiPA-62-F_UG_4__2026-03-24_13-1'!U16</f>
        <v/>
      </c>
      <c r="H11" s="5">
        <f>'NiPA-62-F_UG_5__2026-03-24_13-2'!U16</f>
        <v/>
      </c>
      <c r="I11" s="5">
        <f>'NiPA-62-F_UG_6__2026-03-24_13-2'!U16</f>
        <v/>
      </c>
      <c r="J11" s="5">
        <f>'NiPA-62-F_UG_7__2026-03-24_13-3'!U16</f>
        <v/>
      </c>
      <c r="K11" s="6">
        <f>№1!P16</f>
        <v/>
      </c>
      <c r="L11" s="6">
        <f>'NiPA-62-F_UG_1__2026-03-24_11-4'!P16</f>
        <v/>
      </c>
      <c r="M11" s="6">
        <f>'NiPA-62-F_UG_2__2026-03-24_11-5'!P16</f>
        <v/>
      </c>
      <c r="N11" s="6">
        <f>'NiPA-62-F_UG_3__2026-03-24_13-0'!P16</f>
        <v/>
      </c>
      <c r="O11" s="6">
        <f>'NiPA-62-F_UG_4__2026-03-24_13-1'!P16</f>
        <v/>
      </c>
      <c r="P11" s="6">
        <f>'NiPA-62-F_UG_5__2026-03-24_13-2'!P16</f>
        <v/>
      </c>
      <c r="Q11" s="6">
        <f>'NiPA-62-F_UG_6__2026-03-24_13-2'!P16</f>
        <v/>
      </c>
      <c r="R11" s="6">
        <f>'NiPA-62-F_UG_7__2026-03-24_13-3'!P16</f>
        <v/>
      </c>
      <c r="S11" s="5">
        <f>№1!R16</f>
        <v/>
      </c>
      <c r="T11" s="5">
        <f>'NiPA-62-F_UG_1__2026-03-24_11-4'!R16</f>
        <v/>
      </c>
      <c r="U11" s="5">
        <f>'NiPA-62-F_UG_2__2026-03-24_11-5'!R16</f>
        <v/>
      </c>
      <c r="V11" s="5">
        <f>'NiPA-62-F_UG_3__2026-03-24_13-0'!R16</f>
        <v/>
      </c>
      <c r="W11" s="5">
        <f>'NiPA-62-F_UG_4__2026-03-24_13-1'!R16</f>
        <v/>
      </c>
      <c r="X11" s="5">
        <f>'NiPA-62-F_UG_5__2026-03-24_13-2'!R16</f>
        <v/>
      </c>
      <c r="Y11" s="5">
        <f>'NiPA-62-F_UG_6__2026-03-24_13-2'!R16</f>
        <v/>
      </c>
      <c r="Z11" s="5">
        <f>'NiPA-62-F_UG_7__2026-03-24_13-3'!R16</f>
        <v/>
      </c>
      <c r="AA11" s="6">
        <f>№1!Q16</f>
        <v/>
      </c>
      <c r="AB11" s="6">
        <f>'NiPA-62-F_UG_1__2026-03-24_11-4'!Q16</f>
        <v/>
      </c>
      <c r="AC11" s="6">
        <f>'NiPA-62-F_UG_2__2026-03-24_11-5'!Q16</f>
        <v/>
      </c>
      <c r="AD11" s="6">
        <f>'NiPA-62-F_UG_3__2026-03-24_13-0'!Q16</f>
        <v/>
      </c>
      <c r="AE11" s="6">
        <f>'NiPA-62-F_UG_4__2026-03-24_13-1'!Q16</f>
        <v/>
      </c>
      <c r="AF11" s="6">
        <f>'NiPA-62-F_UG_5__2026-03-24_13-2'!Q16</f>
        <v/>
      </c>
      <c r="AG11" s="6">
        <f>'NiPA-62-F_UG_6__2026-03-24_13-2'!Q16</f>
        <v/>
      </c>
      <c r="AH11" s="6">
        <f>'NiPA-62-F_UG_7__2026-03-24_13-3'!Q16</f>
        <v/>
      </c>
      <c r="AI11" s="5">
        <f>№1!S16</f>
        <v/>
      </c>
      <c r="AJ11" s="5">
        <f>'NiPA-62-F_UG_1__2026-03-24_11-4'!S16</f>
        <v/>
      </c>
      <c r="AK11" s="5">
        <f>'NiPA-62-F_UG_2__2026-03-24_11-5'!S16</f>
        <v/>
      </c>
      <c r="AL11" s="5">
        <f>'NiPA-62-F_UG_3__2026-03-24_13-0'!S16</f>
        <v/>
      </c>
      <c r="AM11" s="5">
        <f>'NiPA-62-F_UG_4__2026-03-24_13-1'!S16</f>
        <v/>
      </c>
      <c r="AN11" s="5">
        <f>'NiPA-62-F_UG_5__2026-03-24_13-2'!S16</f>
        <v/>
      </c>
      <c r="AO11" s="5">
        <f>'NiPA-62-F_UG_6__2026-03-24_13-2'!S16</f>
        <v/>
      </c>
      <c r="AP11" s="5">
        <f>'NiPA-62-F_UG_7__2026-03-24_13-3'!S16</f>
        <v/>
      </c>
      <c r="AQ11" s="6">
        <f>№1!T16</f>
        <v/>
      </c>
      <c r="AR11" s="6">
        <f>'NiPA-62-F_UG_1__2026-03-24_11-4'!T16</f>
        <v/>
      </c>
      <c r="AS11" s="6">
        <f>'NiPA-62-F_UG_2__2026-03-24_11-5'!T16</f>
        <v/>
      </c>
      <c r="AT11" s="6">
        <f>'NiPA-62-F_UG_3__2026-03-24_13-0'!T16</f>
        <v/>
      </c>
      <c r="AU11" s="6">
        <f>'NiPA-62-F_UG_4__2026-03-24_13-1'!T16</f>
        <v/>
      </c>
      <c r="AV11" s="6">
        <f>'NiPA-62-F_UG_5__2026-03-24_13-2'!T16</f>
        <v/>
      </c>
      <c r="AW11" s="6">
        <f>'NiPA-62-F_UG_6__2026-03-24_13-2'!T16</f>
        <v/>
      </c>
      <c r="AX11" s="6">
        <f>'NiPA-62-F_UG_7__2026-03-24_13-3'!T16</f>
        <v/>
      </c>
    </row>
    <row r="12">
      <c r="A12" s="4">
        <f>'NiPA-62-F_UG_7__2026-03-24_13-3'!B17</f>
        <v/>
      </c>
      <c r="B12" s="4">
        <f>A12/1000000000</f>
        <v/>
      </c>
      <c r="C12" s="5">
        <f>№1!U17</f>
        <v/>
      </c>
      <c r="D12" s="5">
        <f>'NiPA-62-F_UG_1__2026-03-24_11-4'!U17</f>
        <v/>
      </c>
      <c r="E12" s="5">
        <f>'NiPA-62-F_UG_2__2026-03-24_11-5'!U17</f>
        <v/>
      </c>
      <c r="F12" s="5">
        <f>'NiPA-62-F_UG_3__2026-03-24_13-0'!U17</f>
        <v/>
      </c>
      <c r="G12" s="5">
        <f>'NiPA-62-F_UG_4__2026-03-24_13-1'!U17</f>
        <v/>
      </c>
      <c r="H12" s="5">
        <f>'NiPA-62-F_UG_5__2026-03-24_13-2'!U17</f>
        <v/>
      </c>
      <c r="I12" s="5">
        <f>'NiPA-62-F_UG_6__2026-03-24_13-2'!U17</f>
        <v/>
      </c>
      <c r="J12" s="5">
        <f>'NiPA-62-F_UG_7__2026-03-24_13-3'!U17</f>
        <v/>
      </c>
      <c r="K12" s="6">
        <f>№1!P17</f>
        <v/>
      </c>
      <c r="L12" s="6">
        <f>'NiPA-62-F_UG_1__2026-03-24_11-4'!P17</f>
        <v/>
      </c>
      <c r="M12" s="6">
        <f>'NiPA-62-F_UG_2__2026-03-24_11-5'!P17</f>
        <v/>
      </c>
      <c r="N12" s="6">
        <f>'NiPA-62-F_UG_3__2026-03-24_13-0'!P17</f>
        <v/>
      </c>
      <c r="O12" s="6">
        <f>'NiPA-62-F_UG_4__2026-03-24_13-1'!P17</f>
        <v/>
      </c>
      <c r="P12" s="6">
        <f>'NiPA-62-F_UG_5__2026-03-24_13-2'!P17</f>
        <v/>
      </c>
      <c r="Q12" s="6">
        <f>'NiPA-62-F_UG_6__2026-03-24_13-2'!P17</f>
        <v/>
      </c>
      <c r="R12" s="6">
        <f>'NiPA-62-F_UG_7__2026-03-24_13-3'!P17</f>
        <v/>
      </c>
      <c r="S12" s="5">
        <f>№1!R17</f>
        <v/>
      </c>
      <c r="T12" s="5">
        <f>'NiPA-62-F_UG_1__2026-03-24_11-4'!R17</f>
        <v/>
      </c>
      <c r="U12" s="5">
        <f>'NiPA-62-F_UG_2__2026-03-24_11-5'!R17</f>
        <v/>
      </c>
      <c r="V12" s="5">
        <f>'NiPA-62-F_UG_3__2026-03-24_13-0'!R17</f>
        <v/>
      </c>
      <c r="W12" s="5">
        <f>'NiPA-62-F_UG_4__2026-03-24_13-1'!R17</f>
        <v/>
      </c>
      <c r="X12" s="5">
        <f>'NiPA-62-F_UG_5__2026-03-24_13-2'!R17</f>
        <v/>
      </c>
      <c r="Y12" s="5">
        <f>'NiPA-62-F_UG_6__2026-03-24_13-2'!R17</f>
        <v/>
      </c>
      <c r="Z12" s="5">
        <f>'NiPA-62-F_UG_7__2026-03-24_13-3'!R17</f>
        <v/>
      </c>
      <c r="AA12" s="6">
        <f>№1!Q17</f>
        <v/>
      </c>
      <c r="AB12" s="6">
        <f>'NiPA-62-F_UG_1__2026-03-24_11-4'!Q17</f>
        <v/>
      </c>
      <c r="AC12" s="6">
        <f>'NiPA-62-F_UG_2__2026-03-24_11-5'!Q17</f>
        <v/>
      </c>
      <c r="AD12" s="6">
        <f>'NiPA-62-F_UG_3__2026-03-24_13-0'!Q17</f>
        <v/>
      </c>
      <c r="AE12" s="6">
        <f>'NiPA-62-F_UG_4__2026-03-24_13-1'!Q17</f>
        <v/>
      </c>
      <c r="AF12" s="6">
        <f>'NiPA-62-F_UG_5__2026-03-24_13-2'!Q17</f>
        <v/>
      </c>
      <c r="AG12" s="6">
        <f>'NiPA-62-F_UG_6__2026-03-24_13-2'!Q17</f>
        <v/>
      </c>
      <c r="AH12" s="6">
        <f>'NiPA-62-F_UG_7__2026-03-24_13-3'!Q17</f>
        <v/>
      </c>
      <c r="AI12" s="5">
        <f>№1!S17</f>
        <v/>
      </c>
      <c r="AJ12" s="5">
        <f>'NiPA-62-F_UG_1__2026-03-24_11-4'!S17</f>
        <v/>
      </c>
      <c r="AK12" s="5">
        <f>'NiPA-62-F_UG_2__2026-03-24_11-5'!S17</f>
        <v/>
      </c>
      <c r="AL12" s="5">
        <f>'NiPA-62-F_UG_3__2026-03-24_13-0'!S17</f>
        <v/>
      </c>
      <c r="AM12" s="5">
        <f>'NiPA-62-F_UG_4__2026-03-24_13-1'!S17</f>
        <v/>
      </c>
      <c r="AN12" s="5">
        <f>'NiPA-62-F_UG_5__2026-03-24_13-2'!S17</f>
        <v/>
      </c>
      <c r="AO12" s="5">
        <f>'NiPA-62-F_UG_6__2026-03-24_13-2'!S17</f>
        <v/>
      </c>
      <c r="AP12" s="5">
        <f>'NiPA-62-F_UG_7__2026-03-24_13-3'!S17</f>
        <v/>
      </c>
      <c r="AQ12" s="6">
        <f>№1!T17</f>
        <v/>
      </c>
      <c r="AR12" s="6">
        <f>'NiPA-62-F_UG_1__2026-03-24_11-4'!T17</f>
        <v/>
      </c>
      <c r="AS12" s="6">
        <f>'NiPA-62-F_UG_2__2026-03-24_11-5'!T17</f>
        <v/>
      </c>
      <c r="AT12" s="6">
        <f>'NiPA-62-F_UG_3__2026-03-24_13-0'!T17</f>
        <v/>
      </c>
      <c r="AU12" s="6">
        <f>'NiPA-62-F_UG_4__2026-03-24_13-1'!T17</f>
        <v/>
      </c>
      <c r="AV12" s="6">
        <f>'NiPA-62-F_UG_5__2026-03-24_13-2'!T17</f>
        <v/>
      </c>
      <c r="AW12" s="6">
        <f>'NiPA-62-F_UG_6__2026-03-24_13-2'!T17</f>
        <v/>
      </c>
      <c r="AX12" s="6">
        <f>'NiPA-62-F_UG_7__2026-03-24_13-3'!T17</f>
        <v/>
      </c>
    </row>
    <row r="13">
      <c r="A13" s="3">
        <f>'NiPA-62-F_UG_7__2026-03-24_13-3'!B18</f>
        <v/>
      </c>
      <c r="B13" s="4">
        <f>A13/1000000000</f>
        <v/>
      </c>
      <c r="C13" s="5">
        <f>№1!U18</f>
        <v/>
      </c>
      <c r="D13" s="5">
        <f>'NiPA-62-F_UG_1__2026-03-24_11-4'!U18</f>
        <v/>
      </c>
      <c r="E13" s="5">
        <f>'NiPA-62-F_UG_2__2026-03-24_11-5'!U18</f>
        <v/>
      </c>
      <c r="F13" s="5">
        <f>'NiPA-62-F_UG_3__2026-03-24_13-0'!U18</f>
        <v/>
      </c>
      <c r="G13" s="5">
        <f>'NiPA-62-F_UG_4__2026-03-24_13-1'!U18</f>
        <v/>
      </c>
      <c r="H13" s="5">
        <f>'NiPA-62-F_UG_5__2026-03-24_13-2'!U18</f>
        <v/>
      </c>
      <c r="I13" s="5">
        <f>'NiPA-62-F_UG_6__2026-03-24_13-2'!U18</f>
        <v/>
      </c>
      <c r="J13" s="5">
        <f>'NiPA-62-F_UG_7__2026-03-24_13-3'!U18</f>
        <v/>
      </c>
      <c r="K13" s="6">
        <f>№1!P18</f>
        <v/>
      </c>
      <c r="L13" s="6">
        <f>'NiPA-62-F_UG_1__2026-03-24_11-4'!P18</f>
        <v/>
      </c>
      <c r="M13" s="6">
        <f>'NiPA-62-F_UG_2__2026-03-24_11-5'!P18</f>
        <v/>
      </c>
      <c r="N13" s="6">
        <f>'NiPA-62-F_UG_3__2026-03-24_13-0'!P18</f>
        <v/>
      </c>
      <c r="O13" s="6">
        <f>'NiPA-62-F_UG_4__2026-03-24_13-1'!P18</f>
        <v/>
      </c>
      <c r="P13" s="6">
        <f>'NiPA-62-F_UG_5__2026-03-24_13-2'!P18</f>
        <v/>
      </c>
      <c r="Q13" s="6">
        <f>'NiPA-62-F_UG_6__2026-03-24_13-2'!P18</f>
        <v/>
      </c>
      <c r="R13" s="6">
        <f>'NiPA-62-F_UG_7__2026-03-24_13-3'!P18</f>
        <v/>
      </c>
      <c r="S13" s="5">
        <f>№1!R18</f>
        <v/>
      </c>
      <c r="T13" s="5">
        <f>'NiPA-62-F_UG_1__2026-03-24_11-4'!R18</f>
        <v/>
      </c>
      <c r="U13" s="5">
        <f>'NiPA-62-F_UG_2__2026-03-24_11-5'!R18</f>
        <v/>
      </c>
      <c r="V13" s="5">
        <f>'NiPA-62-F_UG_3__2026-03-24_13-0'!R18</f>
        <v/>
      </c>
      <c r="W13" s="5">
        <f>'NiPA-62-F_UG_4__2026-03-24_13-1'!R18</f>
        <v/>
      </c>
      <c r="X13" s="5">
        <f>'NiPA-62-F_UG_5__2026-03-24_13-2'!R18</f>
        <v/>
      </c>
      <c r="Y13" s="5">
        <f>'NiPA-62-F_UG_6__2026-03-24_13-2'!R18</f>
        <v/>
      </c>
      <c r="Z13" s="5">
        <f>'NiPA-62-F_UG_7__2026-03-24_13-3'!R18</f>
        <v/>
      </c>
      <c r="AA13" s="6">
        <f>№1!Q18</f>
        <v/>
      </c>
      <c r="AB13" s="6">
        <f>'NiPA-62-F_UG_1__2026-03-24_11-4'!Q18</f>
        <v/>
      </c>
      <c r="AC13" s="6">
        <f>'NiPA-62-F_UG_2__2026-03-24_11-5'!Q18</f>
        <v/>
      </c>
      <c r="AD13" s="6">
        <f>'NiPA-62-F_UG_3__2026-03-24_13-0'!Q18</f>
        <v/>
      </c>
      <c r="AE13" s="6">
        <f>'NiPA-62-F_UG_4__2026-03-24_13-1'!Q18</f>
        <v/>
      </c>
      <c r="AF13" s="6">
        <f>'NiPA-62-F_UG_5__2026-03-24_13-2'!Q18</f>
        <v/>
      </c>
      <c r="AG13" s="6">
        <f>'NiPA-62-F_UG_6__2026-03-24_13-2'!Q18</f>
        <v/>
      </c>
      <c r="AH13" s="6">
        <f>'NiPA-62-F_UG_7__2026-03-24_13-3'!Q18</f>
        <v/>
      </c>
      <c r="AI13" s="5">
        <f>№1!S18</f>
        <v/>
      </c>
      <c r="AJ13" s="5">
        <f>'NiPA-62-F_UG_1__2026-03-24_11-4'!S18</f>
        <v/>
      </c>
      <c r="AK13" s="5">
        <f>'NiPA-62-F_UG_2__2026-03-24_11-5'!S18</f>
        <v/>
      </c>
      <c r="AL13" s="5">
        <f>'NiPA-62-F_UG_3__2026-03-24_13-0'!S18</f>
        <v/>
      </c>
      <c r="AM13" s="5">
        <f>'NiPA-62-F_UG_4__2026-03-24_13-1'!S18</f>
        <v/>
      </c>
      <c r="AN13" s="5">
        <f>'NiPA-62-F_UG_5__2026-03-24_13-2'!S18</f>
        <v/>
      </c>
      <c r="AO13" s="5">
        <f>'NiPA-62-F_UG_6__2026-03-24_13-2'!S18</f>
        <v/>
      </c>
      <c r="AP13" s="5">
        <f>'NiPA-62-F_UG_7__2026-03-24_13-3'!S18</f>
        <v/>
      </c>
      <c r="AQ13" s="6">
        <f>№1!T18</f>
        <v/>
      </c>
      <c r="AR13" s="6">
        <f>'NiPA-62-F_UG_1__2026-03-24_11-4'!T18</f>
        <v/>
      </c>
      <c r="AS13" s="6">
        <f>'NiPA-62-F_UG_2__2026-03-24_11-5'!T18</f>
        <v/>
      </c>
      <c r="AT13" s="6">
        <f>'NiPA-62-F_UG_3__2026-03-24_13-0'!T18</f>
        <v/>
      </c>
      <c r="AU13" s="6">
        <f>'NiPA-62-F_UG_4__2026-03-24_13-1'!T18</f>
        <v/>
      </c>
      <c r="AV13" s="6">
        <f>'NiPA-62-F_UG_5__2026-03-24_13-2'!T18</f>
        <v/>
      </c>
      <c r="AW13" s="6">
        <f>'NiPA-62-F_UG_6__2026-03-24_13-2'!T18</f>
        <v/>
      </c>
      <c r="AX13" s="6">
        <f>'NiPA-62-F_UG_7__2026-03-24_13-3'!T18</f>
        <v/>
      </c>
    </row>
    <row r="14">
      <c r="A14" s="4">
        <f>'NiPA-62-F_UG_7__2026-03-24_13-3'!B19</f>
        <v/>
      </c>
      <c r="B14" s="4">
        <f>A14/1000000000</f>
        <v/>
      </c>
      <c r="C14" s="5">
        <f>№1!U19</f>
        <v/>
      </c>
      <c r="D14" s="5">
        <f>'NiPA-62-F_UG_1__2026-03-24_11-4'!U19</f>
        <v/>
      </c>
      <c r="E14" s="5">
        <f>'NiPA-62-F_UG_2__2026-03-24_11-5'!U19</f>
        <v/>
      </c>
      <c r="F14" s="5">
        <f>'NiPA-62-F_UG_3__2026-03-24_13-0'!U19</f>
        <v/>
      </c>
      <c r="G14" s="5">
        <f>'NiPA-62-F_UG_4__2026-03-24_13-1'!U19</f>
        <v/>
      </c>
      <c r="H14" s="5">
        <f>'NiPA-62-F_UG_5__2026-03-24_13-2'!U19</f>
        <v/>
      </c>
      <c r="I14" s="5">
        <f>'NiPA-62-F_UG_6__2026-03-24_13-2'!U19</f>
        <v/>
      </c>
      <c r="J14" s="5">
        <f>'NiPA-62-F_UG_7__2026-03-24_13-3'!U19</f>
        <v/>
      </c>
      <c r="K14" s="6">
        <f>№1!P19</f>
        <v/>
      </c>
      <c r="L14" s="6">
        <f>'NiPA-62-F_UG_1__2026-03-24_11-4'!P19</f>
        <v/>
      </c>
      <c r="M14" s="6">
        <f>'NiPA-62-F_UG_2__2026-03-24_11-5'!P19</f>
        <v/>
      </c>
      <c r="N14" s="6">
        <f>'NiPA-62-F_UG_3__2026-03-24_13-0'!P19</f>
        <v/>
      </c>
      <c r="O14" s="6">
        <f>'NiPA-62-F_UG_4__2026-03-24_13-1'!P19</f>
        <v/>
      </c>
      <c r="P14" s="6">
        <f>'NiPA-62-F_UG_5__2026-03-24_13-2'!P19</f>
        <v/>
      </c>
      <c r="Q14" s="6">
        <f>'NiPA-62-F_UG_6__2026-03-24_13-2'!P19</f>
        <v/>
      </c>
      <c r="R14" s="6">
        <f>'NiPA-62-F_UG_7__2026-03-24_13-3'!P19</f>
        <v/>
      </c>
      <c r="S14" s="5">
        <f>№1!R19</f>
        <v/>
      </c>
      <c r="T14" s="5">
        <f>'NiPA-62-F_UG_1__2026-03-24_11-4'!R19</f>
        <v/>
      </c>
      <c r="U14" s="5">
        <f>'NiPA-62-F_UG_2__2026-03-24_11-5'!R19</f>
        <v/>
      </c>
      <c r="V14" s="5">
        <f>'NiPA-62-F_UG_3__2026-03-24_13-0'!R19</f>
        <v/>
      </c>
      <c r="W14" s="5">
        <f>'NiPA-62-F_UG_4__2026-03-24_13-1'!R19</f>
        <v/>
      </c>
      <c r="X14" s="5">
        <f>'NiPA-62-F_UG_5__2026-03-24_13-2'!R19</f>
        <v/>
      </c>
      <c r="Y14" s="5">
        <f>'NiPA-62-F_UG_6__2026-03-24_13-2'!R19</f>
        <v/>
      </c>
      <c r="Z14" s="5">
        <f>'NiPA-62-F_UG_7__2026-03-24_13-3'!R19</f>
        <v/>
      </c>
      <c r="AA14" s="6">
        <f>№1!Q19</f>
        <v/>
      </c>
      <c r="AB14" s="6">
        <f>'NiPA-62-F_UG_1__2026-03-24_11-4'!Q19</f>
        <v/>
      </c>
      <c r="AC14" s="6">
        <f>'NiPA-62-F_UG_2__2026-03-24_11-5'!Q19</f>
        <v/>
      </c>
      <c r="AD14" s="6">
        <f>'NiPA-62-F_UG_3__2026-03-24_13-0'!Q19</f>
        <v/>
      </c>
      <c r="AE14" s="6">
        <f>'NiPA-62-F_UG_4__2026-03-24_13-1'!Q19</f>
        <v/>
      </c>
      <c r="AF14" s="6">
        <f>'NiPA-62-F_UG_5__2026-03-24_13-2'!Q19</f>
        <v/>
      </c>
      <c r="AG14" s="6">
        <f>'NiPA-62-F_UG_6__2026-03-24_13-2'!Q19</f>
        <v/>
      </c>
      <c r="AH14" s="6">
        <f>'NiPA-62-F_UG_7__2026-03-24_13-3'!Q19</f>
        <v/>
      </c>
      <c r="AI14" s="5">
        <f>№1!S19</f>
        <v/>
      </c>
      <c r="AJ14" s="5">
        <f>'NiPA-62-F_UG_1__2026-03-24_11-4'!S19</f>
        <v/>
      </c>
      <c r="AK14" s="5">
        <f>'NiPA-62-F_UG_2__2026-03-24_11-5'!S19</f>
        <v/>
      </c>
      <c r="AL14" s="5">
        <f>'NiPA-62-F_UG_3__2026-03-24_13-0'!S19</f>
        <v/>
      </c>
      <c r="AM14" s="5">
        <f>'NiPA-62-F_UG_4__2026-03-24_13-1'!S19</f>
        <v/>
      </c>
      <c r="AN14" s="5">
        <f>'NiPA-62-F_UG_5__2026-03-24_13-2'!S19</f>
        <v/>
      </c>
      <c r="AO14" s="5">
        <f>'NiPA-62-F_UG_6__2026-03-24_13-2'!S19</f>
        <v/>
      </c>
      <c r="AP14" s="5">
        <f>'NiPA-62-F_UG_7__2026-03-24_13-3'!S19</f>
        <v/>
      </c>
      <c r="AQ14" s="6">
        <f>№1!T19</f>
        <v/>
      </c>
      <c r="AR14" s="6">
        <f>'NiPA-62-F_UG_1__2026-03-24_11-4'!T19</f>
        <v/>
      </c>
      <c r="AS14" s="6">
        <f>'NiPA-62-F_UG_2__2026-03-24_11-5'!T19</f>
        <v/>
      </c>
      <c r="AT14" s="6">
        <f>'NiPA-62-F_UG_3__2026-03-24_13-0'!T19</f>
        <v/>
      </c>
      <c r="AU14" s="6">
        <f>'NiPA-62-F_UG_4__2026-03-24_13-1'!T19</f>
        <v/>
      </c>
      <c r="AV14" s="6">
        <f>'NiPA-62-F_UG_5__2026-03-24_13-2'!T19</f>
        <v/>
      </c>
      <c r="AW14" s="6">
        <f>'NiPA-62-F_UG_6__2026-03-24_13-2'!T19</f>
        <v/>
      </c>
      <c r="AX14" s="6">
        <f>'NiPA-62-F_UG_7__2026-03-24_13-3'!T19</f>
        <v/>
      </c>
    </row>
    <row r="15">
      <c r="A15" s="3">
        <f>'NiPA-62-F_UG_7__2026-03-24_13-3'!B20</f>
        <v/>
      </c>
      <c r="B15" s="4">
        <f>A15/1000000000</f>
        <v/>
      </c>
      <c r="C15" s="5">
        <f>№1!U20</f>
        <v/>
      </c>
      <c r="D15" s="5">
        <f>'NiPA-62-F_UG_1__2026-03-24_11-4'!U20</f>
        <v/>
      </c>
      <c r="E15" s="5">
        <f>'NiPA-62-F_UG_2__2026-03-24_11-5'!U20</f>
        <v/>
      </c>
      <c r="F15" s="5">
        <f>'NiPA-62-F_UG_3__2026-03-24_13-0'!U20</f>
        <v/>
      </c>
      <c r="G15" s="5">
        <f>'NiPA-62-F_UG_4__2026-03-24_13-1'!U20</f>
        <v/>
      </c>
      <c r="H15" s="5">
        <f>'NiPA-62-F_UG_5__2026-03-24_13-2'!U20</f>
        <v/>
      </c>
      <c r="I15" s="5">
        <f>'NiPA-62-F_UG_6__2026-03-24_13-2'!U20</f>
        <v/>
      </c>
      <c r="J15" s="5">
        <f>'NiPA-62-F_UG_7__2026-03-24_13-3'!U20</f>
        <v/>
      </c>
      <c r="K15" s="6">
        <f>№1!P20</f>
        <v/>
      </c>
      <c r="L15" s="6">
        <f>'NiPA-62-F_UG_1__2026-03-24_11-4'!P20</f>
        <v/>
      </c>
      <c r="M15" s="6">
        <f>'NiPA-62-F_UG_2__2026-03-24_11-5'!P20</f>
        <v/>
      </c>
      <c r="N15" s="6">
        <f>'NiPA-62-F_UG_3__2026-03-24_13-0'!P20</f>
        <v/>
      </c>
      <c r="O15" s="6">
        <f>'NiPA-62-F_UG_4__2026-03-24_13-1'!P20</f>
        <v/>
      </c>
      <c r="P15" s="6">
        <f>'NiPA-62-F_UG_5__2026-03-24_13-2'!P20</f>
        <v/>
      </c>
      <c r="Q15" s="6">
        <f>'NiPA-62-F_UG_6__2026-03-24_13-2'!P20</f>
        <v/>
      </c>
      <c r="R15" s="6">
        <f>'NiPA-62-F_UG_7__2026-03-24_13-3'!P20</f>
        <v/>
      </c>
      <c r="S15" s="5">
        <f>№1!R20</f>
        <v/>
      </c>
      <c r="T15" s="5">
        <f>'NiPA-62-F_UG_1__2026-03-24_11-4'!R20</f>
        <v/>
      </c>
      <c r="U15" s="5">
        <f>'NiPA-62-F_UG_2__2026-03-24_11-5'!R20</f>
        <v/>
      </c>
      <c r="V15" s="5">
        <f>'NiPA-62-F_UG_3__2026-03-24_13-0'!R20</f>
        <v/>
      </c>
      <c r="W15" s="5">
        <f>'NiPA-62-F_UG_4__2026-03-24_13-1'!R20</f>
        <v/>
      </c>
      <c r="X15" s="5">
        <f>'NiPA-62-F_UG_5__2026-03-24_13-2'!R20</f>
        <v/>
      </c>
      <c r="Y15" s="5">
        <f>'NiPA-62-F_UG_6__2026-03-24_13-2'!R20</f>
        <v/>
      </c>
      <c r="Z15" s="5">
        <f>'NiPA-62-F_UG_7__2026-03-24_13-3'!R20</f>
        <v/>
      </c>
      <c r="AA15" s="6">
        <f>№1!Q20</f>
        <v/>
      </c>
      <c r="AB15" s="6">
        <f>'NiPA-62-F_UG_1__2026-03-24_11-4'!Q20</f>
        <v/>
      </c>
      <c r="AC15" s="6">
        <f>'NiPA-62-F_UG_2__2026-03-24_11-5'!Q20</f>
        <v/>
      </c>
      <c r="AD15" s="6">
        <f>'NiPA-62-F_UG_3__2026-03-24_13-0'!Q20</f>
        <v/>
      </c>
      <c r="AE15" s="6">
        <f>'NiPA-62-F_UG_4__2026-03-24_13-1'!Q20</f>
        <v/>
      </c>
      <c r="AF15" s="6">
        <f>'NiPA-62-F_UG_5__2026-03-24_13-2'!Q20</f>
        <v/>
      </c>
      <c r="AG15" s="6">
        <f>'NiPA-62-F_UG_6__2026-03-24_13-2'!Q20</f>
        <v/>
      </c>
      <c r="AH15" s="6">
        <f>'NiPA-62-F_UG_7__2026-03-24_13-3'!Q20</f>
        <v/>
      </c>
      <c r="AI15" s="5">
        <f>№1!S20</f>
        <v/>
      </c>
      <c r="AJ15" s="5">
        <f>'NiPA-62-F_UG_1__2026-03-24_11-4'!S20</f>
        <v/>
      </c>
      <c r="AK15" s="5">
        <f>'NiPA-62-F_UG_2__2026-03-24_11-5'!S20</f>
        <v/>
      </c>
      <c r="AL15" s="5">
        <f>'NiPA-62-F_UG_3__2026-03-24_13-0'!S20</f>
        <v/>
      </c>
      <c r="AM15" s="5">
        <f>'NiPA-62-F_UG_4__2026-03-24_13-1'!S20</f>
        <v/>
      </c>
      <c r="AN15" s="5">
        <f>'NiPA-62-F_UG_5__2026-03-24_13-2'!S20</f>
        <v/>
      </c>
      <c r="AO15" s="5">
        <f>'NiPA-62-F_UG_6__2026-03-24_13-2'!S20</f>
        <v/>
      </c>
      <c r="AP15" s="5">
        <f>'NiPA-62-F_UG_7__2026-03-24_13-3'!S20</f>
        <v/>
      </c>
      <c r="AQ15" s="6">
        <f>№1!T20</f>
        <v/>
      </c>
      <c r="AR15" s="6">
        <f>'NiPA-62-F_UG_1__2026-03-24_11-4'!T20</f>
        <v/>
      </c>
      <c r="AS15" s="6">
        <f>'NiPA-62-F_UG_2__2026-03-24_11-5'!T20</f>
        <v/>
      </c>
      <c r="AT15" s="6">
        <f>'NiPA-62-F_UG_3__2026-03-24_13-0'!T20</f>
        <v/>
      </c>
      <c r="AU15" s="6">
        <f>'NiPA-62-F_UG_4__2026-03-24_13-1'!T20</f>
        <v/>
      </c>
      <c r="AV15" s="6">
        <f>'NiPA-62-F_UG_5__2026-03-24_13-2'!T20</f>
        <v/>
      </c>
      <c r="AW15" s="6">
        <f>'NiPA-62-F_UG_6__2026-03-24_13-2'!T20</f>
        <v/>
      </c>
      <c r="AX15" s="6">
        <f>'NiPA-62-F_UG_7__2026-03-24_13-3'!T20</f>
        <v/>
      </c>
    </row>
    <row r="16">
      <c r="A16" s="4">
        <f>'NiPA-62-F_UG_7__2026-03-24_13-3'!B21</f>
        <v/>
      </c>
      <c r="B16" s="4">
        <f>A16/1000000000</f>
        <v/>
      </c>
      <c r="C16" s="5">
        <f>№1!U21</f>
        <v/>
      </c>
      <c r="D16" s="5">
        <f>'NiPA-62-F_UG_1__2026-03-24_11-4'!U21</f>
        <v/>
      </c>
      <c r="E16" s="5">
        <f>'NiPA-62-F_UG_2__2026-03-24_11-5'!U21</f>
        <v/>
      </c>
      <c r="F16" s="5">
        <f>'NiPA-62-F_UG_3__2026-03-24_13-0'!U21</f>
        <v/>
      </c>
      <c r="G16" s="5">
        <f>'NiPA-62-F_UG_4__2026-03-24_13-1'!U21</f>
        <v/>
      </c>
      <c r="H16" s="5">
        <f>'NiPA-62-F_UG_5__2026-03-24_13-2'!U21</f>
        <v/>
      </c>
      <c r="I16" s="5">
        <f>'NiPA-62-F_UG_6__2026-03-24_13-2'!U21</f>
        <v/>
      </c>
      <c r="J16" s="5">
        <f>'NiPA-62-F_UG_7__2026-03-24_13-3'!U21</f>
        <v/>
      </c>
      <c r="K16" s="6">
        <f>№1!P21</f>
        <v/>
      </c>
      <c r="L16" s="6">
        <f>'NiPA-62-F_UG_1__2026-03-24_11-4'!P21</f>
        <v/>
      </c>
      <c r="M16" s="6">
        <f>'NiPA-62-F_UG_2__2026-03-24_11-5'!P21</f>
        <v/>
      </c>
      <c r="N16" s="6">
        <f>'NiPA-62-F_UG_3__2026-03-24_13-0'!P21</f>
        <v/>
      </c>
      <c r="O16" s="6">
        <f>'NiPA-62-F_UG_4__2026-03-24_13-1'!P21</f>
        <v/>
      </c>
      <c r="P16" s="6">
        <f>'NiPA-62-F_UG_5__2026-03-24_13-2'!P21</f>
        <v/>
      </c>
      <c r="Q16" s="6">
        <f>'NiPA-62-F_UG_6__2026-03-24_13-2'!P21</f>
        <v/>
      </c>
      <c r="R16" s="6">
        <f>'NiPA-62-F_UG_7__2026-03-24_13-3'!P21</f>
        <v/>
      </c>
      <c r="S16" s="5">
        <f>№1!R21</f>
        <v/>
      </c>
      <c r="T16" s="5">
        <f>'NiPA-62-F_UG_1__2026-03-24_11-4'!R21</f>
        <v/>
      </c>
      <c r="U16" s="5">
        <f>'NiPA-62-F_UG_2__2026-03-24_11-5'!R21</f>
        <v/>
      </c>
      <c r="V16" s="5">
        <f>'NiPA-62-F_UG_3__2026-03-24_13-0'!R21</f>
        <v/>
      </c>
      <c r="W16" s="5">
        <f>'NiPA-62-F_UG_4__2026-03-24_13-1'!R21</f>
        <v/>
      </c>
      <c r="X16" s="5">
        <f>'NiPA-62-F_UG_5__2026-03-24_13-2'!R21</f>
        <v/>
      </c>
      <c r="Y16" s="5">
        <f>'NiPA-62-F_UG_6__2026-03-24_13-2'!R21</f>
        <v/>
      </c>
      <c r="Z16" s="5">
        <f>'NiPA-62-F_UG_7__2026-03-24_13-3'!R21</f>
        <v/>
      </c>
      <c r="AA16" s="6">
        <f>№1!Q21</f>
        <v/>
      </c>
      <c r="AB16" s="6">
        <f>'NiPA-62-F_UG_1__2026-03-24_11-4'!Q21</f>
        <v/>
      </c>
      <c r="AC16" s="6">
        <f>'NiPA-62-F_UG_2__2026-03-24_11-5'!Q21</f>
        <v/>
      </c>
      <c r="AD16" s="6">
        <f>'NiPA-62-F_UG_3__2026-03-24_13-0'!Q21</f>
        <v/>
      </c>
      <c r="AE16" s="6">
        <f>'NiPA-62-F_UG_4__2026-03-24_13-1'!Q21</f>
        <v/>
      </c>
      <c r="AF16" s="6">
        <f>'NiPA-62-F_UG_5__2026-03-24_13-2'!Q21</f>
        <v/>
      </c>
      <c r="AG16" s="6">
        <f>'NiPA-62-F_UG_6__2026-03-24_13-2'!Q21</f>
        <v/>
      </c>
      <c r="AH16" s="6">
        <f>'NiPA-62-F_UG_7__2026-03-24_13-3'!Q21</f>
        <v/>
      </c>
      <c r="AI16" s="5">
        <f>№1!S21</f>
        <v/>
      </c>
      <c r="AJ16" s="5">
        <f>'NiPA-62-F_UG_1__2026-03-24_11-4'!S21</f>
        <v/>
      </c>
      <c r="AK16" s="5">
        <f>'NiPA-62-F_UG_2__2026-03-24_11-5'!S21</f>
        <v/>
      </c>
      <c r="AL16" s="5">
        <f>'NiPA-62-F_UG_3__2026-03-24_13-0'!S21</f>
        <v/>
      </c>
      <c r="AM16" s="5">
        <f>'NiPA-62-F_UG_4__2026-03-24_13-1'!S21</f>
        <v/>
      </c>
      <c r="AN16" s="5">
        <f>'NiPA-62-F_UG_5__2026-03-24_13-2'!S21</f>
        <v/>
      </c>
      <c r="AO16" s="5">
        <f>'NiPA-62-F_UG_6__2026-03-24_13-2'!S21</f>
        <v/>
      </c>
      <c r="AP16" s="5">
        <f>'NiPA-62-F_UG_7__2026-03-24_13-3'!S21</f>
        <v/>
      </c>
      <c r="AQ16" s="6">
        <f>№1!T21</f>
        <v/>
      </c>
      <c r="AR16" s="6">
        <f>'NiPA-62-F_UG_1__2026-03-24_11-4'!T21</f>
        <v/>
      </c>
      <c r="AS16" s="6">
        <f>'NiPA-62-F_UG_2__2026-03-24_11-5'!T21</f>
        <v/>
      </c>
      <c r="AT16" s="6">
        <f>'NiPA-62-F_UG_3__2026-03-24_13-0'!T21</f>
        <v/>
      </c>
      <c r="AU16" s="6">
        <f>'NiPA-62-F_UG_4__2026-03-24_13-1'!T21</f>
        <v/>
      </c>
      <c r="AV16" s="6">
        <f>'NiPA-62-F_UG_5__2026-03-24_13-2'!T21</f>
        <v/>
      </c>
      <c r="AW16" s="6">
        <f>'NiPA-62-F_UG_6__2026-03-24_13-2'!T21</f>
        <v/>
      </c>
      <c r="AX16" s="6">
        <f>'NiPA-62-F_UG_7__2026-03-24_13-3'!T21</f>
        <v/>
      </c>
    </row>
    <row r="17">
      <c r="A17" s="3">
        <f>'NiPA-62-F_UG_7__2026-03-24_13-3'!B22</f>
        <v/>
      </c>
      <c r="B17" s="4">
        <f>A17/1000000000</f>
        <v/>
      </c>
      <c r="C17" s="5">
        <f>№1!U22</f>
        <v/>
      </c>
      <c r="D17" s="5">
        <f>'NiPA-62-F_UG_1__2026-03-24_11-4'!U22</f>
        <v/>
      </c>
      <c r="E17" s="5">
        <f>'NiPA-62-F_UG_2__2026-03-24_11-5'!U22</f>
        <v/>
      </c>
      <c r="F17" s="5">
        <f>'NiPA-62-F_UG_3__2026-03-24_13-0'!U22</f>
        <v/>
      </c>
      <c r="G17" s="5">
        <f>'NiPA-62-F_UG_4__2026-03-24_13-1'!U22</f>
        <v/>
      </c>
      <c r="H17" s="5">
        <f>'NiPA-62-F_UG_5__2026-03-24_13-2'!U22</f>
        <v/>
      </c>
      <c r="I17" s="5">
        <f>'NiPA-62-F_UG_6__2026-03-24_13-2'!U22</f>
        <v/>
      </c>
      <c r="J17" s="5">
        <f>'NiPA-62-F_UG_7__2026-03-24_13-3'!U22</f>
        <v/>
      </c>
      <c r="K17" s="6">
        <f>№1!P22</f>
        <v/>
      </c>
      <c r="L17" s="6">
        <f>'NiPA-62-F_UG_1__2026-03-24_11-4'!P22</f>
        <v/>
      </c>
      <c r="M17" s="6">
        <f>'NiPA-62-F_UG_2__2026-03-24_11-5'!P22</f>
        <v/>
      </c>
      <c r="N17" s="6">
        <f>'NiPA-62-F_UG_3__2026-03-24_13-0'!P22</f>
        <v/>
      </c>
      <c r="O17" s="6">
        <f>'NiPA-62-F_UG_4__2026-03-24_13-1'!P22</f>
        <v/>
      </c>
      <c r="P17" s="6">
        <f>'NiPA-62-F_UG_5__2026-03-24_13-2'!P22</f>
        <v/>
      </c>
      <c r="Q17" s="6">
        <f>'NiPA-62-F_UG_6__2026-03-24_13-2'!P22</f>
        <v/>
      </c>
      <c r="R17" s="6">
        <f>'NiPA-62-F_UG_7__2026-03-24_13-3'!P22</f>
        <v/>
      </c>
      <c r="S17" s="5">
        <f>№1!R22</f>
        <v/>
      </c>
      <c r="T17" s="5">
        <f>'NiPA-62-F_UG_1__2026-03-24_11-4'!R22</f>
        <v/>
      </c>
      <c r="U17" s="5">
        <f>'NiPA-62-F_UG_2__2026-03-24_11-5'!R22</f>
        <v/>
      </c>
      <c r="V17" s="5">
        <f>'NiPA-62-F_UG_3__2026-03-24_13-0'!R22</f>
        <v/>
      </c>
      <c r="W17" s="5">
        <f>'NiPA-62-F_UG_4__2026-03-24_13-1'!R22</f>
        <v/>
      </c>
      <c r="X17" s="5">
        <f>'NiPA-62-F_UG_5__2026-03-24_13-2'!R22</f>
        <v/>
      </c>
      <c r="Y17" s="5">
        <f>'NiPA-62-F_UG_6__2026-03-24_13-2'!R22</f>
        <v/>
      </c>
      <c r="Z17" s="5">
        <f>'NiPA-62-F_UG_7__2026-03-24_13-3'!R22</f>
        <v/>
      </c>
      <c r="AA17" s="6">
        <f>№1!Q22</f>
        <v/>
      </c>
      <c r="AB17" s="6">
        <f>'NiPA-62-F_UG_1__2026-03-24_11-4'!Q22</f>
        <v/>
      </c>
      <c r="AC17" s="6">
        <f>'NiPA-62-F_UG_2__2026-03-24_11-5'!Q22</f>
        <v/>
      </c>
      <c r="AD17" s="6">
        <f>'NiPA-62-F_UG_3__2026-03-24_13-0'!Q22</f>
        <v/>
      </c>
      <c r="AE17" s="6">
        <f>'NiPA-62-F_UG_4__2026-03-24_13-1'!Q22</f>
        <v/>
      </c>
      <c r="AF17" s="6">
        <f>'NiPA-62-F_UG_5__2026-03-24_13-2'!Q22</f>
        <v/>
      </c>
      <c r="AG17" s="6">
        <f>'NiPA-62-F_UG_6__2026-03-24_13-2'!Q22</f>
        <v/>
      </c>
      <c r="AH17" s="6">
        <f>'NiPA-62-F_UG_7__2026-03-24_13-3'!Q22</f>
        <v/>
      </c>
      <c r="AI17" s="5">
        <f>№1!S22</f>
        <v/>
      </c>
      <c r="AJ17" s="5">
        <f>'NiPA-62-F_UG_1__2026-03-24_11-4'!S22</f>
        <v/>
      </c>
      <c r="AK17" s="5">
        <f>'NiPA-62-F_UG_2__2026-03-24_11-5'!S22</f>
        <v/>
      </c>
      <c r="AL17" s="5">
        <f>'NiPA-62-F_UG_3__2026-03-24_13-0'!S22</f>
        <v/>
      </c>
      <c r="AM17" s="5">
        <f>'NiPA-62-F_UG_4__2026-03-24_13-1'!S22</f>
        <v/>
      </c>
      <c r="AN17" s="5">
        <f>'NiPA-62-F_UG_5__2026-03-24_13-2'!S22</f>
        <v/>
      </c>
      <c r="AO17" s="5">
        <f>'NiPA-62-F_UG_6__2026-03-24_13-2'!S22</f>
        <v/>
      </c>
      <c r="AP17" s="5">
        <f>'NiPA-62-F_UG_7__2026-03-24_13-3'!S22</f>
        <v/>
      </c>
      <c r="AQ17" s="6">
        <f>№1!T22</f>
        <v/>
      </c>
      <c r="AR17" s="6">
        <f>'NiPA-62-F_UG_1__2026-03-24_11-4'!T22</f>
        <v/>
      </c>
      <c r="AS17" s="6">
        <f>'NiPA-62-F_UG_2__2026-03-24_11-5'!T22</f>
        <v/>
      </c>
      <c r="AT17" s="6">
        <f>'NiPA-62-F_UG_3__2026-03-24_13-0'!T22</f>
        <v/>
      </c>
      <c r="AU17" s="6">
        <f>'NiPA-62-F_UG_4__2026-03-24_13-1'!T22</f>
        <v/>
      </c>
      <c r="AV17" s="6">
        <f>'NiPA-62-F_UG_5__2026-03-24_13-2'!T22</f>
        <v/>
      </c>
      <c r="AW17" s="6">
        <f>'NiPA-62-F_UG_6__2026-03-24_13-2'!T22</f>
        <v/>
      </c>
      <c r="AX17" s="6">
        <f>'NiPA-62-F_UG_7__2026-03-24_13-3'!T22</f>
        <v/>
      </c>
    </row>
    <row r="18">
      <c r="A18" s="4">
        <f>'NiPA-62-F_UG_7__2026-03-24_13-3'!B23</f>
        <v/>
      </c>
      <c r="B18" s="4">
        <f>A18/1000000000</f>
        <v/>
      </c>
      <c r="C18" s="5">
        <f>№1!U23</f>
        <v/>
      </c>
      <c r="D18" s="5">
        <f>'NiPA-62-F_UG_1__2026-03-24_11-4'!U23</f>
        <v/>
      </c>
      <c r="E18" s="5">
        <f>'NiPA-62-F_UG_2__2026-03-24_11-5'!U23</f>
        <v/>
      </c>
      <c r="F18" s="5">
        <f>'NiPA-62-F_UG_3__2026-03-24_13-0'!U23</f>
        <v/>
      </c>
      <c r="G18" s="5">
        <f>'NiPA-62-F_UG_4__2026-03-24_13-1'!U23</f>
        <v/>
      </c>
      <c r="H18" s="5">
        <f>'NiPA-62-F_UG_5__2026-03-24_13-2'!U23</f>
        <v/>
      </c>
      <c r="I18" s="5">
        <f>'NiPA-62-F_UG_6__2026-03-24_13-2'!U23</f>
        <v/>
      </c>
      <c r="J18" s="5">
        <f>'NiPA-62-F_UG_7__2026-03-24_13-3'!U23</f>
        <v/>
      </c>
      <c r="K18" s="6">
        <f>№1!P23</f>
        <v/>
      </c>
      <c r="L18" s="6">
        <f>'NiPA-62-F_UG_1__2026-03-24_11-4'!P23</f>
        <v/>
      </c>
      <c r="M18" s="6">
        <f>'NiPA-62-F_UG_2__2026-03-24_11-5'!P23</f>
        <v/>
      </c>
      <c r="N18" s="6">
        <f>'NiPA-62-F_UG_3__2026-03-24_13-0'!P23</f>
        <v/>
      </c>
      <c r="O18" s="6">
        <f>'NiPA-62-F_UG_4__2026-03-24_13-1'!P23</f>
        <v/>
      </c>
      <c r="P18" s="6">
        <f>'NiPA-62-F_UG_5__2026-03-24_13-2'!P23</f>
        <v/>
      </c>
      <c r="Q18" s="6">
        <f>'NiPA-62-F_UG_6__2026-03-24_13-2'!P23</f>
        <v/>
      </c>
      <c r="R18" s="6">
        <f>'NiPA-62-F_UG_7__2026-03-24_13-3'!P23</f>
        <v/>
      </c>
      <c r="S18" s="5">
        <f>№1!R23</f>
        <v/>
      </c>
      <c r="T18" s="5">
        <f>'NiPA-62-F_UG_1__2026-03-24_11-4'!R23</f>
        <v/>
      </c>
      <c r="U18" s="5">
        <f>'NiPA-62-F_UG_2__2026-03-24_11-5'!R23</f>
        <v/>
      </c>
      <c r="V18" s="5">
        <f>'NiPA-62-F_UG_3__2026-03-24_13-0'!R23</f>
        <v/>
      </c>
      <c r="W18" s="5">
        <f>'NiPA-62-F_UG_4__2026-03-24_13-1'!R23</f>
        <v/>
      </c>
      <c r="X18" s="5">
        <f>'NiPA-62-F_UG_5__2026-03-24_13-2'!R23</f>
        <v/>
      </c>
      <c r="Y18" s="5">
        <f>'NiPA-62-F_UG_6__2026-03-24_13-2'!R23</f>
        <v/>
      </c>
      <c r="Z18" s="5">
        <f>'NiPA-62-F_UG_7__2026-03-24_13-3'!R23</f>
        <v/>
      </c>
      <c r="AA18" s="6">
        <f>№1!Q23</f>
        <v/>
      </c>
      <c r="AB18" s="6">
        <f>'NiPA-62-F_UG_1__2026-03-24_11-4'!Q23</f>
        <v/>
      </c>
      <c r="AC18" s="6">
        <f>'NiPA-62-F_UG_2__2026-03-24_11-5'!Q23</f>
        <v/>
      </c>
      <c r="AD18" s="6">
        <f>'NiPA-62-F_UG_3__2026-03-24_13-0'!Q23</f>
        <v/>
      </c>
      <c r="AE18" s="6">
        <f>'NiPA-62-F_UG_4__2026-03-24_13-1'!Q23</f>
        <v/>
      </c>
      <c r="AF18" s="6">
        <f>'NiPA-62-F_UG_5__2026-03-24_13-2'!Q23</f>
        <v/>
      </c>
      <c r="AG18" s="6">
        <f>'NiPA-62-F_UG_6__2026-03-24_13-2'!Q23</f>
        <v/>
      </c>
      <c r="AH18" s="6">
        <f>'NiPA-62-F_UG_7__2026-03-24_13-3'!Q23</f>
        <v/>
      </c>
      <c r="AI18" s="5">
        <f>№1!S23</f>
        <v/>
      </c>
      <c r="AJ18" s="5">
        <f>'NiPA-62-F_UG_1__2026-03-24_11-4'!S23</f>
        <v/>
      </c>
      <c r="AK18" s="5">
        <f>'NiPA-62-F_UG_2__2026-03-24_11-5'!S23</f>
        <v/>
      </c>
      <c r="AL18" s="5">
        <f>'NiPA-62-F_UG_3__2026-03-24_13-0'!S23</f>
        <v/>
      </c>
      <c r="AM18" s="5">
        <f>'NiPA-62-F_UG_4__2026-03-24_13-1'!S23</f>
        <v/>
      </c>
      <c r="AN18" s="5">
        <f>'NiPA-62-F_UG_5__2026-03-24_13-2'!S23</f>
        <v/>
      </c>
      <c r="AO18" s="5">
        <f>'NiPA-62-F_UG_6__2026-03-24_13-2'!S23</f>
        <v/>
      </c>
      <c r="AP18" s="5">
        <f>'NiPA-62-F_UG_7__2026-03-24_13-3'!S23</f>
        <v/>
      </c>
      <c r="AQ18" s="6">
        <f>№1!T23</f>
        <v/>
      </c>
      <c r="AR18" s="6">
        <f>'NiPA-62-F_UG_1__2026-03-24_11-4'!T23</f>
        <v/>
      </c>
      <c r="AS18" s="6">
        <f>'NiPA-62-F_UG_2__2026-03-24_11-5'!T23</f>
        <v/>
      </c>
      <c r="AT18" s="6">
        <f>'NiPA-62-F_UG_3__2026-03-24_13-0'!T23</f>
        <v/>
      </c>
      <c r="AU18" s="6">
        <f>'NiPA-62-F_UG_4__2026-03-24_13-1'!T23</f>
        <v/>
      </c>
      <c r="AV18" s="6">
        <f>'NiPA-62-F_UG_5__2026-03-24_13-2'!T23</f>
        <v/>
      </c>
      <c r="AW18" s="6">
        <f>'NiPA-62-F_UG_6__2026-03-24_13-2'!T23</f>
        <v/>
      </c>
      <c r="AX18" s="6">
        <f>'NiPA-62-F_UG_7__2026-03-24_13-3'!T23</f>
        <v/>
      </c>
    </row>
    <row r="19">
      <c r="A19" s="3">
        <f>'NiPA-62-F_UG_7__2026-03-24_13-3'!B24</f>
        <v/>
      </c>
      <c r="B19" s="4">
        <f>A19/1000000000</f>
        <v/>
      </c>
      <c r="C19" s="5">
        <f>№1!U24</f>
        <v/>
      </c>
      <c r="D19" s="5">
        <f>'NiPA-62-F_UG_1__2026-03-24_11-4'!U24</f>
        <v/>
      </c>
      <c r="E19" s="5">
        <f>'NiPA-62-F_UG_2__2026-03-24_11-5'!U24</f>
        <v/>
      </c>
      <c r="F19" s="5">
        <f>'NiPA-62-F_UG_3__2026-03-24_13-0'!U24</f>
        <v/>
      </c>
      <c r="G19" s="5">
        <f>'NiPA-62-F_UG_4__2026-03-24_13-1'!U24</f>
        <v/>
      </c>
      <c r="H19" s="5">
        <f>'NiPA-62-F_UG_5__2026-03-24_13-2'!U24</f>
        <v/>
      </c>
      <c r="I19" s="5">
        <f>'NiPA-62-F_UG_6__2026-03-24_13-2'!U24</f>
        <v/>
      </c>
      <c r="J19" s="5">
        <f>'NiPA-62-F_UG_7__2026-03-24_13-3'!U24</f>
        <v/>
      </c>
      <c r="K19" s="6">
        <f>№1!P24</f>
        <v/>
      </c>
      <c r="L19" s="6">
        <f>'NiPA-62-F_UG_1__2026-03-24_11-4'!P24</f>
        <v/>
      </c>
      <c r="M19" s="6">
        <f>'NiPA-62-F_UG_2__2026-03-24_11-5'!P24</f>
        <v/>
      </c>
      <c r="N19" s="6">
        <f>'NiPA-62-F_UG_3__2026-03-24_13-0'!P24</f>
        <v/>
      </c>
      <c r="O19" s="6">
        <f>'NiPA-62-F_UG_4__2026-03-24_13-1'!P24</f>
        <v/>
      </c>
      <c r="P19" s="6">
        <f>'NiPA-62-F_UG_5__2026-03-24_13-2'!P24</f>
        <v/>
      </c>
      <c r="Q19" s="6">
        <f>'NiPA-62-F_UG_6__2026-03-24_13-2'!P24</f>
        <v/>
      </c>
      <c r="R19" s="6">
        <f>'NiPA-62-F_UG_7__2026-03-24_13-3'!P24</f>
        <v/>
      </c>
      <c r="S19" s="5">
        <f>№1!R24</f>
        <v/>
      </c>
      <c r="T19" s="5">
        <f>'NiPA-62-F_UG_1__2026-03-24_11-4'!R24</f>
        <v/>
      </c>
      <c r="U19" s="5">
        <f>'NiPA-62-F_UG_2__2026-03-24_11-5'!R24</f>
        <v/>
      </c>
      <c r="V19" s="5">
        <f>'NiPA-62-F_UG_3__2026-03-24_13-0'!R24</f>
        <v/>
      </c>
      <c r="W19" s="5">
        <f>'NiPA-62-F_UG_4__2026-03-24_13-1'!R24</f>
        <v/>
      </c>
      <c r="X19" s="5">
        <f>'NiPA-62-F_UG_5__2026-03-24_13-2'!R24</f>
        <v/>
      </c>
      <c r="Y19" s="5">
        <f>'NiPA-62-F_UG_6__2026-03-24_13-2'!R24</f>
        <v/>
      </c>
      <c r="Z19" s="5">
        <f>'NiPA-62-F_UG_7__2026-03-24_13-3'!R24</f>
        <v/>
      </c>
      <c r="AA19" s="6">
        <f>№1!Q24</f>
        <v/>
      </c>
      <c r="AB19" s="6">
        <f>'NiPA-62-F_UG_1__2026-03-24_11-4'!Q24</f>
        <v/>
      </c>
      <c r="AC19" s="6">
        <f>'NiPA-62-F_UG_2__2026-03-24_11-5'!Q24</f>
        <v/>
      </c>
      <c r="AD19" s="6">
        <f>'NiPA-62-F_UG_3__2026-03-24_13-0'!Q24</f>
        <v/>
      </c>
      <c r="AE19" s="6">
        <f>'NiPA-62-F_UG_4__2026-03-24_13-1'!Q24</f>
        <v/>
      </c>
      <c r="AF19" s="6">
        <f>'NiPA-62-F_UG_5__2026-03-24_13-2'!Q24</f>
        <v/>
      </c>
      <c r="AG19" s="6">
        <f>'NiPA-62-F_UG_6__2026-03-24_13-2'!Q24</f>
        <v/>
      </c>
      <c r="AH19" s="6">
        <f>'NiPA-62-F_UG_7__2026-03-24_13-3'!Q24</f>
        <v/>
      </c>
      <c r="AI19" s="5">
        <f>№1!S24</f>
        <v/>
      </c>
      <c r="AJ19" s="5">
        <f>'NiPA-62-F_UG_1__2026-03-24_11-4'!S24</f>
        <v/>
      </c>
      <c r="AK19" s="5">
        <f>'NiPA-62-F_UG_2__2026-03-24_11-5'!S24</f>
        <v/>
      </c>
      <c r="AL19" s="5">
        <f>'NiPA-62-F_UG_3__2026-03-24_13-0'!S24</f>
        <v/>
      </c>
      <c r="AM19" s="5">
        <f>'NiPA-62-F_UG_4__2026-03-24_13-1'!S24</f>
        <v/>
      </c>
      <c r="AN19" s="5">
        <f>'NiPA-62-F_UG_5__2026-03-24_13-2'!S24</f>
        <v/>
      </c>
      <c r="AO19" s="5">
        <f>'NiPA-62-F_UG_6__2026-03-24_13-2'!S24</f>
        <v/>
      </c>
      <c r="AP19" s="5">
        <f>'NiPA-62-F_UG_7__2026-03-24_13-3'!S24</f>
        <v/>
      </c>
      <c r="AQ19" s="6">
        <f>№1!T24</f>
        <v/>
      </c>
      <c r="AR19" s="6">
        <f>'NiPA-62-F_UG_1__2026-03-24_11-4'!T24</f>
        <v/>
      </c>
      <c r="AS19" s="6">
        <f>'NiPA-62-F_UG_2__2026-03-24_11-5'!T24</f>
        <v/>
      </c>
      <c r="AT19" s="6">
        <f>'NiPA-62-F_UG_3__2026-03-24_13-0'!T24</f>
        <v/>
      </c>
      <c r="AU19" s="6">
        <f>'NiPA-62-F_UG_4__2026-03-24_13-1'!T24</f>
        <v/>
      </c>
      <c r="AV19" s="6">
        <f>'NiPA-62-F_UG_5__2026-03-24_13-2'!T24</f>
        <v/>
      </c>
      <c r="AW19" s="6">
        <f>'NiPA-62-F_UG_6__2026-03-24_13-2'!T24</f>
        <v/>
      </c>
      <c r="AX19" s="6">
        <f>'NiPA-62-F_UG_7__2026-03-24_13-3'!T24</f>
        <v/>
      </c>
    </row>
    <row r="20">
      <c r="A20" s="4">
        <f>'NiPA-62-F_UG_7__2026-03-24_13-3'!B25</f>
        <v/>
      </c>
      <c r="B20" s="4">
        <f>A20/1000000000</f>
        <v/>
      </c>
      <c r="C20" s="5">
        <f>№1!U25</f>
        <v/>
      </c>
      <c r="D20" s="5">
        <f>'NiPA-62-F_UG_1__2026-03-24_11-4'!U25</f>
        <v/>
      </c>
      <c r="E20" s="5">
        <f>'NiPA-62-F_UG_2__2026-03-24_11-5'!U25</f>
        <v/>
      </c>
      <c r="F20" s="5">
        <f>'NiPA-62-F_UG_3__2026-03-24_13-0'!U25</f>
        <v/>
      </c>
      <c r="G20" s="5">
        <f>'NiPA-62-F_UG_4__2026-03-24_13-1'!U25</f>
        <v/>
      </c>
      <c r="H20" s="5">
        <f>'NiPA-62-F_UG_5__2026-03-24_13-2'!U25</f>
        <v/>
      </c>
      <c r="I20" s="5">
        <f>'NiPA-62-F_UG_6__2026-03-24_13-2'!U25</f>
        <v/>
      </c>
      <c r="J20" s="5">
        <f>'NiPA-62-F_UG_7__2026-03-24_13-3'!U25</f>
        <v/>
      </c>
      <c r="K20" s="6">
        <f>№1!P25</f>
        <v/>
      </c>
      <c r="L20" s="6">
        <f>'NiPA-62-F_UG_1__2026-03-24_11-4'!P25</f>
        <v/>
      </c>
      <c r="M20" s="6">
        <f>'NiPA-62-F_UG_2__2026-03-24_11-5'!P25</f>
        <v/>
      </c>
      <c r="N20" s="6">
        <f>'NiPA-62-F_UG_3__2026-03-24_13-0'!P25</f>
        <v/>
      </c>
      <c r="O20" s="6">
        <f>'NiPA-62-F_UG_4__2026-03-24_13-1'!P25</f>
        <v/>
      </c>
      <c r="P20" s="6">
        <f>'NiPA-62-F_UG_5__2026-03-24_13-2'!P25</f>
        <v/>
      </c>
      <c r="Q20" s="6">
        <f>'NiPA-62-F_UG_6__2026-03-24_13-2'!P25</f>
        <v/>
      </c>
      <c r="R20" s="6">
        <f>'NiPA-62-F_UG_7__2026-03-24_13-3'!P25</f>
        <v/>
      </c>
      <c r="S20" s="5">
        <f>№1!R25</f>
        <v/>
      </c>
      <c r="T20" s="5">
        <f>'NiPA-62-F_UG_1__2026-03-24_11-4'!R25</f>
        <v/>
      </c>
      <c r="U20" s="5">
        <f>'NiPA-62-F_UG_2__2026-03-24_11-5'!R25</f>
        <v/>
      </c>
      <c r="V20" s="5">
        <f>'NiPA-62-F_UG_3__2026-03-24_13-0'!R25</f>
        <v/>
      </c>
      <c r="W20" s="5">
        <f>'NiPA-62-F_UG_4__2026-03-24_13-1'!R25</f>
        <v/>
      </c>
      <c r="X20" s="5">
        <f>'NiPA-62-F_UG_5__2026-03-24_13-2'!R25</f>
        <v/>
      </c>
      <c r="Y20" s="5">
        <f>'NiPA-62-F_UG_6__2026-03-24_13-2'!R25</f>
        <v/>
      </c>
      <c r="Z20" s="5">
        <f>'NiPA-62-F_UG_7__2026-03-24_13-3'!R25</f>
        <v/>
      </c>
      <c r="AA20" s="6">
        <f>№1!Q25</f>
        <v/>
      </c>
      <c r="AB20" s="6">
        <f>'NiPA-62-F_UG_1__2026-03-24_11-4'!Q25</f>
        <v/>
      </c>
      <c r="AC20" s="6">
        <f>'NiPA-62-F_UG_2__2026-03-24_11-5'!Q25</f>
        <v/>
      </c>
      <c r="AD20" s="6">
        <f>'NiPA-62-F_UG_3__2026-03-24_13-0'!Q25</f>
        <v/>
      </c>
      <c r="AE20" s="6">
        <f>'NiPA-62-F_UG_4__2026-03-24_13-1'!Q25</f>
        <v/>
      </c>
      <c r="AF20" s="6">
        <f>'NiPA-62-F_UG_5__2026-03-24_13-2'!Q25</f>
        <v/>
      </c>
      <c r="AG20" s="6">
        <f>'NiPA-62-F_UG_6__2026-03-24_13-2'!Q25</f>
        <v/>
      </c>
      <c r="AH20" s="6">
        <f>'NiPA-62-F_UG_7__2026-03-24_13-3'!Q25</f>
        <v/>
      </c>
      <c r="AI20" s="5">
        <f>№1!S25</f>
        <v/>
      </c>
      <c r="AJ20" s="5">
        <f>'NiPA-62-F_UG_1__2026-03-24_11-4'!S25</f>
        <v/>
      </c>
      <c r="AK20" s="5">
        <f>'NiPA-62-F_UG_2__2026-03-24_11-5'!S25</f>
        <v/>
      </c>
      <c r="AL20" s="5">
        <f>'NiPA-62-F_UG_3__2026-03-24_13-0'!S25</f>
        <v/>
      </c>
      <c r="AM20" s="5">
        <f>'NiPA-62-F_UG_4__2026-03-24_13-1'!S25</f>
        <v/>
      </c>
      <c r="AN20" s="5">
        <f>'NiPA-62-F_UG_5__2026-03-24_13-2'!S25</f>
        <v/>
      </c>
      <c r="AO20" s="5">
        <f>'NiPA-62-F_UG_6__2026-03-24_13-2'!S25</f>
        <v/>
      </c>
      <c r="AP20" s="5">
        <f>'NiPA-62-F_UG_7__2026-03-24_13-3'!S25</f>
        <v/>
      </c>
      <c r="AQ20" s="6">
        <f>№1!T25</f>
        <v/>
      </c>
      <c r="AR20" s="6">
        <f>'NiPA-62-F_UG_1__2026-03-24_11-4'!T25</f>
        <v/>
      </c>
      <c r="AS20" s="6">
        <f>'NiPA-62-F_UG_2__2026-03-24_11-5'!T25</f>
        <v/>
      </c>
      <c r="AT20" s="6">
        <f>'NiPA-62-F_UG_3__2026-03-24_13-0'!T25</f>
        <v/>
      </c>
      <c r="AU20" s="6">
        <f>'NiPA-62-F_UG_4__2026-03-24_13-1'!T25</f>
        <v/>
      </c>
      <c r="AV20" s="6">
        <f>'NiPA-62-F_UG_5__2026-03-24_13-2'!T25</f>
        <v/>
      </c>
      <c r="AW20" s="6">
        <f>'NiPA-62-F_UG_6__2026-03-24_13-2'!T25</f>
        <v/>
      </c>
      <c r="AX20" s="6">
        <f>'NiPA-62-F_UG_7__2026-03-24_13-3'!T25</f>
        <v/>
      </c>
    </row>
    <row r="21">
      <c r="A21" s="3">
        <f>'NiPA-62-F_UG_7__2026-03-24_13-3'!B26</f>
        <v/>
      </c>
      <c r="B21" s="4">
        <f>A21/1000000000</f>
        <v/>
      </c>
      <c r="C21" s="5">
        <f>№1!U26</f>
        <v/>
      </c>
      <c r="D21" s="5">
        <f>'NiPA-62-F_UG_1__2026-03-24_11-4'!U26</f>
        <v/>
      </c>
      <c r="E21" s="5">
        <f>'NiPA-62-F_UG_2__2026-03-24_11-5'!U26</f>
        <v/>
      </c>
      <c r="F21" s="5">
        <f>'NiPA-62-F_UG_3__2026-03-24_13-0'!U26</f>
        <v/>
      </c>
      <c r="G21" s="5">
        <f>'NiPA-62-F_UG_4__2026-03-24_13-1'!U26</f>
        <v/>
      </c>
      <c r="H21" s="5">
        <f>'NiPA-62-F_UG_5__2026-03-24_13-2'!U26</f>
        <v/>
      </c>
      <c r="I21" s="5">
        <f>'NiPA-62-F_UG_6__2026-03-24_13-2'!U26</f>
        <v/>
      </c>
      <c r="J21" s="5">
        <f>'NiPA-62-F_UG_7__2026-03-24_13-3'!U26</f>
        <v/>
      </c>
      <c r="K21" s="6">
        <f>№1!P26</f>
        <v/>
      </c>
      <c r="L21" s="6">
        <f>'NiPA-62-F_UG_1__2026-03-24_11-4'!P26</f>
        <v/>
      </c>
      <c r="M21" s="6">
        <f>'NiPA-62-F_UG_2__2026-03-24_11-5'!P26</f>
        <v/>
      </c>
      <c r="N21" s="6">
        <f>'NiPA-62-F_UG_3__2026-03-24_13-0'!P26</f>
        <v/>
      </c>
      <c r="O21" s="6">
        <f>'NiPA-62-F_UG_4__2026-03-24_13-1'!P26</f>
        <v/>
      </c>
      <c r="P21" s="6">
        <f>'NiPA-62-F_UG_5__2026-03-24_13-2'!P26</f>
        <v/>
      </c>
      <c r="Q21" s="6">
        <f>'NiPA-62-F_UG_6__2026-03-24_13-2'!P26</f>
        <v/>
      </c>
      <c r="R21" s="6">
        <f>'NiPA-62-F_UG_7__2026-03-24_13-3'!P26</f>
        <v/>
      </c>
      <c r="S21" s="5">
        <f>№1!R26</f>
        <v/>
      </c>
      <c r="T21" s="5">
        <f>'NiPA-62-F_UG_1__2026-03-24_11-4'!R26</f>
        <v/>
      </c>
      <c r="U21" s="5">
        <f>'NiPA-62-F_UG_2__2026-03-24_11-5'!R26</f>
        <v/>
      </c>
      <c r="V21" s="5">
        <f>'NiPA-62-F_UG_3__2026-03-24_13-0'!R26</f>
        <v/>
      </c>
      <c r="W21" s="5">
        <f>'NiPA-62-F_UG_4__2026-03-24_13-1'!R26</f>
        <v/>
      </c>
      <c r="X21" s="5">
        <f>'NiPA-62-F_UG_5__2026-03-24_13-2'!R26</f>
        <v/>
      </c>
      <c r="Y21" s="5">
        <f>'NiPA-62-F_UG_6__2026-03-24_13-2'!R26</f>
        <v/>
      </c>
      <c r="Z21" s="5">
        <f>'NiPA-62-F_UG_7__2026-03-24_13-3'!R26</f>
        <v/>
      </c>
      <c r="AA21" s="6">
        <f>№1!Q26</f>
        <v/>
      </c>
      <c r="AB21" s="6">
        <f>'NiPA-62-F_UG_1__2026-03-24_11-4'!Q26</f>
        <v/>
      </c>
      <c r="AC21" s="6">
        <f>'NiPA-62-F_UG_2__2026-03-24_11-5'!Q26</f>
        <v/>
      </c>
      <c r="AD21" s="6">
        <f>'NiPA-62-F_UG_3__2026-03-24_13-0'!Q26</f>
        <v/>
      </c>
      <c r="AE21" s="6">
        <f>'NiPA-62-F_UG_4__2026-03-24_13-1'!Q26</f>
        <v/>
      </c>
      <c r="AF21" s="6">
        <f>'NiPA-62-F_UG_5__2026-03-24_13-2'!Q26</f>
        <v/>
      </c>
      <c r="AG21" s="6">
        <f>'NiPA-62-F_UG_6__2026-03-24_13-2'!Q26</f>
        <v/>
      </c>
      <c r="AH21" s="6">
        <f>'NiPA-62-F_UG_7__2026-03-24_13-3'!Q26</f>
        <v/>
      </c>
      <c r="AI21" s="5">
        <f>№1!S26</f>
        <v/>
      </c>
      <c r="AJ21" s="5">
        <f>'NiPA-62-F_UG_1__2026-03-24_11-4'!S26</f>
        <v/>
      </c>
      <c r="AK21" s="5">
        <f>'NiPA-62-F_UG_2__2026-03-24_11-5'!S26</f>
        <v/>
      </c>
      <c r="AL21" s="5">
        <f>'NiPA-62-F_UG_3__2026-03-24_13-0'!S26</f>
        <v/>
      </c>
      <c r="AM21" s="5">
        <f>'NiPA-62-F_UG_4__2026-03-24_13-1'!S26</f>
        <v/>
      </c>
      <c r="AN21" s="5">
        <f>'NiPA-62-F_UG_5__2026-03-24_13-2'!S26</f>
        <v/>
      </c>
      <c r="AO21" s="5">
        <f>'NiPA-62-F_UG_6__2026-03-24_13-2'!S26</f>
        <v/>
      </c>
      <c r="AP21" s="5">
        <f>'NiPA-62-F_UG_7__2026-03-24_13-3'!S26</f>
        <v/>
      </c>
      <c r="AQ21" s="6">
        <f>№1!T26</f>
        <v/>
      </c>
      <c r="AR21" s="6">
        <f>'NiPA-62-F_UG_1__2026-03-24_11-4'!T26</f>
        <v/>
      </c>
      <c r="AS21" s="6">
        <f>'NiPA-62-F_UG_2__2026-03-24_11-5'!T26</f>
        <v/>
      </c>
      <c r="AT21" s="6">
        <f>'NiPA-62-F_UG_3__2026-03-24_13-0'!T26</f>
        <v/>
      </c>
      <c r="AU21" s="6">
        <f>'NiPA-62-F_UG_4__2026-03-24_13-1'!T26</f>
        <v/>
      </c>
      <c r="AV21" s="6">
        <f>'NiPA-62-F_UG_5__2026-03-24_13-2'!T26</f>
        <v/>
      </c>
      <c r="AW21" s="6">
        <f>'NiPA-62-F_UG_6__2026-03-24_13-2'!T26</f>
        <v/>
      </c>
      <c r="AX21" s="6">
        <f>'NiPA-62-F_UG_7__2026-03-24_13-3'!T26</f>
        <v/>
      </c>
    </row>
    <row r="22">
      <c r="A22" s="4">
        <f>'NiPA-62-F_UG_7__2026-03-24_13-3'!B27</f>
        <v/>
      </c>
      <c r="B22" s="4">
        <f>A22/1000000000</f>
        <v/>
      </c>
      <c r="C22" s="5">
        <f>№1!U27</f>
        <v/>
      </c>
      <c r="D22" s="5">
        <f>'NiPA-62-F_UG_1__2026-03-24_11-4'!U27</f>
        <v/>
      </c>
      <c r="E22" s="5">
        <f>'NiPA-62-F_UG_2__2026-03-24_11-5'!U27</f>
        <v/>
      </c>
      <c r="F22" s="5">
        <f>'NiPA-62-F_UG_3__2026-03-24_13-0'!U27</f>
        <v/>
      </c>
      <c r="G22" s="5">
        <f>'NiPA-62-F_UG_4__2026-03-24_13-1'!U27</f>
        <v/>
      </c>
      <c r="H22" s="5">
        <f>'NiPA-62-F_UG_5__2026-03-24_13-2'!U27</f>
        <v/>
      </c>
      <c r="I22" s="5">
        <f>'NiPA-62-F_UG_6__2026-03-24_13-2'!U27</f>
        <v/>
      </c>
      <c r="J22" s="5">
        <f>'NiPA-62-F_UG_7__2026-03-24_13-3'!U27</f>
        <v/>
      </c>
      <c r="K22" s="6">
        <f>№1!P27</f>
        <v/>
      </c>
      <c r="L22" s="6">
        <f>'NiPA-62-F_UG_1__2026-03-24_11-4'!P27</f>
        <v/>
      </c>
      <c r="M22" s="6">
        <f>'NiPA-62-F_UG_2__2026-03-24_11-5'!P27</f>
        <v/>
      </c>
      <c r="N22" s="6">
        <f>'NiPA-62-F_UG_3__2026-03-24_13-0'!P27</f>
        <v/>
      </c>
      <c r="O22" s="6">
        <f>'NiPA-62-F_UG_4__2026-03-24_13-1'!P27</f>
        <v/>
      </c>
      <c r="P22" s="6">
        <f>'NiPA-62-F_UG_5__2026-03-24_13-2'!P27</f>
        <v/>
      </c>
      <c r="Q22" s="6">
        <f>'NiPA-62-F_UG_6__2026-03-24_13-2'!P27</f>
        <v/>
      </c>
      <c r="R22" s="6">
        <f>'NiPA-62-F_UG_7__2026-03-24_13-3'!P27</f>
        <v/>
      </c>
      <c r="S22" s="5">
        <f>№1!R27</f>
        <v/>
      </c>
      <c r="T22" s="5">
        <f>'NiPA-62-F_UG_1__2026-03-24_11-4'!R27</f>
        <v/>
      </c>
      <c r="U22" s="5">
        <f>'NiPA-62-F_UG_2__2026-03-24_11-5'!R27</f>
        <v/>
      </c>
      <c r="V22" s="5">
        <f>'NiPA-62-F_UG_3__2026-03-24_13-0'!R27</f>
        <v/>
      </c>
      <c r="W22" s="5">
        <f>'NiPA-62-F_UG_4__2026-03-24_13-1'!R27</f>
        <v/>
      </c>
      <c r="X22" s="5">
        <f>'NiPA-62-F_UG_5__2026-03-24_13-2'!R27</f>
        <v/>
      </c>
      <c r="Y22" s="5">
        <f>'NiPA-62-F_UG_6__2026-03-24_13-2'!R27</f>
        <v/>
      </c>
      <c r="Z22" s="5">
        <f>'NiPA-62-F_UG_7__2026-03-24_13-3'!R27</f>
        <v/>
      </c>
      <c r="AA22" s="6">
        <f>№1!Q27</f>
        <v/>
      </c>
      <c r="AB22" s="6">
        <f>'NiPA-62-F_UG_1__2026-03-24_11-4'!Q27</f>
        <v/>
      </c>
      <c r="AC22" s="6">
        <f>'NiPA-62-F_UG_2__2026-03-24_11-5'!Q27</f>
        <v/>
      </c>
      <c r="AD22" s="6">
        <f>'NiPA-62-F_UG_3__2026-03-24_13-0'!Q27</f>
        <v/>
      </c>
      <c r="AE22" s="6">
        <f>'NiPA-62-F_UG_4__2026-03-24_13-1'!Q27</f>
        <v/>
      </c>
      <c r="AF22" s="6">
        <f>'NiPA-62-F_UG_5__2026-03-24_13-2'!Q27</f>
        <v/>
      </c>
      <c r="AG22" s="6">
        <f>'NiPA-62-F_UG_6__2026-03-24_13-2'!Q27</f>
        <v/>
      </c>
      <c r="AH22" s="6">
        <f>'NiPA-62-F_UG_7__2026-03-24_13-3'!Q27</f>
        <v/>
      </c>
      <c r="AI22" s="5">
        <f>№1!S27</f>
        <v/>
      </c>
      <c r="AJ22" s="5">
        <f>'NiPA-62-F_UG_1__2026-03-24_11-4'!S27</f>
        <v/>
      </c>
      <c r="AK22" s="5">
        <f>'NiPA-62-F_UG_2__2026-03-24_11-5'!S27</f>
        <v/>
      </c>
      <c r="AL22" s="5">
        <f>'NiPA-62-F_UG_3__2026-03-24_13-0'!S27</f>
        <v/>
      </c>
      <c r="AM22" s="5">
        <f>'NiPA-62-F_UG_4__2026-03-24_13-1'!S27</f>
        <v/>
      </c>
      <c r="AN22" s="5">
        <f>'NiPA-62-F_UG_5__2026-03-24_13-2'!S27</f>
        <v/>
      </c>
      <c r="AO22" s="5">
        <f>'NiPA-62-F_UG_6__2026-03-24_13-2'!S27</f>
        <v/>
      </c>
      <c r="AP22" s="5">
        <f>'NiPA-62-F_UG_7__2026-03-24_13-3'!S27</f>
        <v/>
      </c>
      <c r="AQ22" s="6">
        <f>№1!T27</f>
        <v/>
      </c>
      <c r="AR22" s="6">
        <f>'NiPA-62-F_UG_1__2026-03-24_11-4'!T27</f>
        <v/>
      </c>
      <c r="AS22" s="6">
        <f>'NiPA-62-F_UG_2__2026-03-24_11-5'!T27</f>
        <v/>
      </c>
      <c r="AT22" s="6">
        <f>'NiPA-62-F_UG_3__2026-03-24_13-0'!T27</f>
        <v/>
      </c>
      <c r="AU22" s="6">
        <f>'NiPA-62-F_UG_4__2026-03-24_13-1'!T27</f>
        <v/>
      </c>
      <c r="AV22" s="6">
        <f>'NiPA-62-F_UG_5__2026-03-24_13-2'!T27</f>
        <v/>
      </c>
      <c r="AW22" s="6">
        <f>'NiPA-62-F_UG_6__2026-03-24_13-2'!T27</f>
        <v/>
      </c>
      <c r="AX22" s="6">
        <f>'NiPA-62-F_UG_7__2026-03-24_13-3'!T27</f>
        <v/>
      </c>
    </row>
    <row r="23">
      <c r="A23" s="3">
        <f>'NiPA-62-F_UG_7__2026-03-24_13-3'!B28</f>
        <v/>
      </c>
      <c r="B23" s="4">
        <f>A23/1000000000</f>
        <v/>
      </c>
      <c r="C23" s="5">
        <f>№1!U28</f>
        <v/>
      </c>
      <c r="D23" s="5">
        <f>'NiPA-62-F_UG_1__2026-03-24_11-4'!U28</f>
        <v/>
      </c>
      <c r="E23" s="5">
        <f>'NiPA-62-F_UG_2__2026-03-24_11-5'!U28</f>
        <v/>
      </c>
      <c r="F23" s="5">
        <f>'NiPA-62-F_UG_3__2026-03-24_13-0'!U28</f>
        <v/>
      </c>
      <c r="G23" s="5">
        <f>'NiPA-62-F_UG_4__2026-03-24_13-1'!U28</f>
        <v/>
      </c>
      <c r="H23" s="5">
        <f>'NiPA-62-F_UG_5__2026-03-24_13-2'!U28</f>
        <v/>
      </c>
      <c r="I23" s="5">
        <f>'NiPA-62-F_UG_6__2026-03-24_13-2'!U28</f>
        <v/>
      </c>
      <c r="J23" s="5">
        <f>'NiPA-62-F_UG_7__2026-03-24_13-3'!U28</f>
        <v/>
      </c>
      <c r="K23" s="6">
        <f>№1!P28</f>
        <v/>
      </c>
      <c r="L23" s="6">
        <f>'NiPA-62-F_UG_1__2026-03-24_11-4'!P28</f>
        <v/>
      </c>
      <c r="M23" s="6">
        <f>'NiPA-62-F_UG_2__2026-03-24_11-5'!P28</f>
        <v/>
      </c>
      <c r="N23" s="6">
        <f>'NiPA-62-F_UG_3__2026-03-24_13-0'!P28</f>
        <v/>
      </c>
      <c r="O23" s="6">
        <f>'NiPA-62-F_UG_4__2026-03-24_13-1'!P28</f>
        <v/>
      </c>
      <c r="P23" s="6">
        <f>'NiPA-62-F_UG_5__2026-03-24_13-2'!P28</f>
        <v/>
      </c>
      <c r="Q23" s="6">
        <f>'NiPA-62-F_UG_6__2026-03-24_13-2'!P28</f>
        <v/>
      </c>
      <c r="R23" s="6">
        <f>'NiPA-62-F_UG_7__2026-03-24_13-3'!P28</f>
        <v/>
      </c>
      <c r="S23" s="5">
        <f>№1!R28</f>
        <v/>
      </c>
      <c r="T23" s="5">
        <f>'NiPA-62-F_UG_1__2026-03-24_11-4'!R28</f>
        <v/>
      </c>
      <c r="U23" s="5">
        <f>'NiPA-62-F_UG_2__2026-03-24_11-5'!R28</f>
        <v/>
      </c>
      <c r="V23" s="5">
        <f>'NiPA-62-F_UG_3__2026-03-24_13-0'!R28</f>
        <v/>
      </c>
      <c r="W23" s="5">
        <f>'NiPA-62-F_UG_4__2026-03-24_13-1'!R28</f>
        <v/>
      </c>
      <c r="X23" s="5">
        <f>'NiPA-62-F_UG_5__2026-03-24_13-2'!R28</f>
        <v/>
      </c>
      <c r="Y23" s="5">
        <f>'NiPA-62-F_UG_6__2026-03-24_13-2'!R28</f>
        <v/>
      </c>
      <c r="Z23" s="5">
        <f>'NiPA-62-F_UG_7__2026-03-24_13-3'!R28</f>
        <v/>
      </c>
      <c r="AA23" s="6">
        <f>№1!Q28</f>
        <v/>
      </c>
      <c r="AB23" s="6">
        <f>'NiPA-62-F_UG_1__2026-03-24_11-4'!Q28</f>
        <v/>
      </c>
      <c r="AC23" s="6">
        <f>'NiPA-62-F_UG_2__2026-03-24_11-5'!Q28</f>
        <v/>
      </c>
      <c r="AD23" s="6">
        <f>'NiPA-62-F_UG_3__2026-03-24_13-0'!Q28</f>
        <v/>
      </c>
      <c r="AE23" s="6">
        <f>'NiPA-62-F_UG_4__2026-03-24_13-1'!Q28</f>
        <v/>
      </c>
      <c r="AF23" s="6">
        <f>'NiPA-62-F_UG_5__2026-03-24_13-2'!Q28</f>
        <v/>
      </c>
      <c r="AG23" s="6">
        <f>'NiPA-62-F_UG_6__2026-03-24_13-2'!Q28</f>
        <v/>
      </c>
      <c r="AH23" s="6">
        <f>'NiPA-62-F_UG_7__2026-03-24_13-3'!Q28</f>
        <v/>
      </c>
      <c r="AI23" s="5">
        <f>№1!S28</f>
        <v/>
      </c>
      <c r="AJ23" s="5">
        <f>'NiPA-62-F_UG_1__2026-03-24_11-4'!S28</f>
        <v/>
      </c>
      <c r="AK23" s="5">
        <f>'NiPA-62-F_UG_2__2026-03-24_11-5'!S28</f>
        <v/>
      </c>
      <c r="AL23" s="5">
        <f>'NiPA-62-F_UG_3__2026-03-24_13-0'!S28</f>
        <v/>
      </c>
      <c r="AM23" s="5">
        <f>'NiPA-62-F_UG_4__2026-03-24_13-1'!S28</f>
        <v/>
      </c>
      <c r="AN23" s="5">
        <f>'NiPA-62-F_UG_5__2026-03-24_13-2'!S28</f>
        <v/>
      </c>
      <c r="AO23" s="5">
        <f>'NiPA-62-F_UG_6__2026-03-24_13-2'!S28</f>
        <v/>
      </c>
      <c r="AP23" s="5">
        <f>'NiPA-62-F_UG_7__2026-03-24_13-3'!S28</f>
        <v/>
      </c>
      <c r="AQ23" s="6">
        <f>№1!T28</f>
        <v/>
      </c>
      <c r="AR23" s="6">
        <f>'NiPA-62-F_UG_1__2026-03-24_11-4'!T28</f>
        <v/>
      </c>
      <c r="AS23" s="6">
        <f>'NiPA-62-F_UG_2__2026-03-24_11-5'!T28</f>
        <v/>
      </c>
      <c r="AT23" s="6">
        <f>'NiPA-62-F_UG_3__2026-03-24_13-0'!T28</f>
        <v/>
      </c>
      <c r="AU23" s="6">
        <f>'NiPA-62-F_UG_4__2026-03-24_13-1'!T28</f>
        <v/>
      </c>
      <c r="AV23" s="6">
        <f>'NiPA-62-F_UG_5__2026-03-24_13-2'!T28</f>
        <v/>
      </c>
      <c r="AW23" s="6">
        <f>'NiPA-62-F_UG_6__2026-03-24_13-2'!T28</f>
        <v/>
      </c>
      <c r="AX23" s="6">
        <f>'NiPA-62-F_UG_7__2026-03-24_13-3'!T28</f>
        <v/>
      </c>
    </row>
    <row r="24">
      <c r="A24" s="4">
        <f>'NiPA-62-F_UG_7__2026-03-24_13-3'!B29</f>
        <v/>
      </c>
      <c r="B24" s="4">
        <f>A24/1000000000</f>
        <v/>
      </c>
      <c r="C24" s="5">
        <f>№1!U29</f>
        <v/>
      </c>
      <c r="D24" s="5">
        <f>'NiPA-62-F_UG_1__2026-03-24_11-4'!U29</f>
        <v/>
      </c>
      <c r="E24" s="5">
        <f>'NiPA-62-F_UG_2__2026-03-24_11-5'!U29</f>
        <v/>
      </c>
      <c r="F24" s="5">
        <f>'NiPA-62-F_UG_3__2026-03-24_13-0'!U29</f>
        <v/>
      </c>
      <c r="G24" s="5">
        <f>'NiPA-62-F_UG_4__2026-03-24_13-1'!U29</f>
        <v/>
      </c>
      <c r="H24" s="5">
        <f>'NiPA-62-F_UG_5__2026-03-24_13-2'!U29</f>
        <v/>
      </c>
      <c r="I24" s="5">
        <f>'NiPA-62-F_UG_6__2026-03-24_13-2'!U29</f>
        <v/>
      </c>
      <c r="J24" s="5">
        <f>'NiPA-62-F_UG_7__2026-03-24_13-3'!U29</f>
        <v/>
      </c>
      <c r="K24" s="6">
        <f>№1!P29</f>
        <v/>
      </c>
      <c r="L24" s="6">
        <f>'NiPA-62-F_UG_1__2026-03-24_11-4'!P29</f>
        <v/>
      </c>
      <c r="M24" s="6">
        <f>'NiPA-62-F_UG_2__2026-03-24_11-5'!P29</f>
        <v/>
      </c>
      <c r="N24" s="6">
        <f>'NiPA-62-F_UG_3__2026-03-24_13-0'!P29</f>
        <v/>
      </c>
      <c r="O24" s="6">
        <f>'NiPA-62-F_UG_4__2026-03-24_13-1'!P29</f>
        <v/>
      </c>
      <c r="P24" s="6">
        <f>'NiPA-62-F_UG_5__2026-03-24_13-2'!P29</f>
        <v/>
      </c>
      <c r="Q24" s="6">
        <f>'NiPA-62-F_UG_6__2026-03-24_13-2'!P29</f>
        <v/>
      </c>
      <c r="R24" s="6">
        <f>'NiPA-62-F_UG_7__2026-03-24_13-3'!P29</f>
        <v/>
      </c>
      <c r="S24" s="5">
        <f>№1!R29</f>
        <v/>
      </c>
      <c r="T24" s="5">
        <f>'NiPA-62-F_UG_1__2026-03-24_11-4'!R29</f>
        <v/>
      </c>
      <c r="U24" s="5">
        <f>'NiPA-62-F_UG_2__2026-03-24_11-5'!R29</f>
        <v/>
      </c>
      <c r="V24" s="5">
        <f>'NiPA-62-F_UG_3__2026-03-24_13-0'!R29</f>
        <v/>
      </c>
      <c r="W24" s="5">
        <f>'NiPA-62-F_UG_4__2026-03-24_13-1'!R29</f>
        <v/>
      </c>
      <c r="X24" s="5">
        <f>'NiPA-62-F_UG_5__2026-03-24_13-2'!R29</f>
        <v/>
      </c>
      <c r="Y24" s="5">
        <f>'NiPA-62-F_UG_6__2026-03-24_13-2'!R29</f>
        <v/>
      </c>
      <c r="Z24" s="5">
        <f>'NiPA-62-F_UG_7__2026-03-24_13-3'!R29</f>
        <v/>
      </c>
      <c r="AA24" s="6">
        <f>№1!Q29</f>
        <v/>
      </c>
      <c r="AB24" s="6">
        <f>'NiPA-62-F_UG_1__2026-03-24_11-4'!Q29</f>
        <v/>
      </c>
      <c r="AC24" s="6">
        <f>'NiPA-62-F_UG_2__2026-03-24_11-5'!Q29</f>
        <v/>
      </c>
      <c r="AD24" s="6">
        <f>'NiPA-62-F_UG_3__2026-03-24_13-0'!Q29</f>
        <v/>
      </c>
      <c r="AE24" s="6">
        <f>'NiPA-62-F_UG_4__2026-03-24_13-1'!Q29</f>
        <v/>
      </c>
      <c r="AF24" s="6">
        <f>'NiPA-62-F_UG_5__2026-03-24_13-2'!Q29</f>
        <v/>
      </c>
      <c r="AG24" s="6">
        <f>'NiPA-62-F_UG_6__2026-03-24_13-2'!Q29</f>
        <v/>
      </c>
      <c r="AH24" s="6">
        <f>'NiPA-62-F_UG_7__2026-03-24_13-3'!Q29</f>
        <v/>
      </c>
      <c r="AI24" s="5">
        <f>№1!S29</f>
        <v/>
      </c>
      <c r="AJ24" s="5">
        <f>'NiPA-62-F_UG_1__2026-03-24_11-4'!S29</f>
        <v/>
      </c>
      <c r="AK24" s="5">
        <f>'NiPA-62-F_UG_2__2026-03-24_11-5'!S29</f>
        <v/>
      </c>
      <c r="AL24" s="5">
        <f>'NiPA-62-F_UG_3__2026-03-24_13-0'!S29</f>
        <v/>
      </c>
      <c r="AM24" s="5">
        <f>'NiPA-62-F_UG_4__2026-03-24_13-1'!S29</f>
        <v/>
      </c>
      <c r="AN24" s="5">
        <f>'NiPA-62-F_UG_5__2026-03-24_13-2'!S29</f>
        <v/>
      </c>
      <c r="AO24" s="5">
        <f>'NiPA-62-F_UG_6__2026-03-24_13-2'!S29</f>
        <v/>
      </c>
      <c r="AP24" s="5">
        <f>'NiPA-62-F_UG_7__2026-03-24_13-3'!S29</f>
        <v/>
      </c>
      <c r="AQ24" s="6">
        <f>№1!T29</f>
        <v/>
      </c>
      <c r="AR24" s="6">
        <f>'NiPA-62-F_UG_1__2026-03-24_11-4'!T29</f>
        <v/>
      </c>
      <c r="AS24" s="6">
        <f>'NiPA-62-F_UG_2__2026-03-24_11-5'!T29</f>
        <v/>
      </c>
      <c r="AT24" s="6">
        <f>'NiPA-62-F_UG_3__2026-03-24_13-0'!T29</f>
        <v/>
      </c>
      <c r="AU24" s="6">
        <f>'NiPA-62-F_UG_4__2026-03-24_13-1'!T29</f>
        <v/>
      </c>
      <c r="AV24" s="6">
        <f>'NiPA-62-F_UG_5__2026-03-24_13-2'!T29</f>
        <v/>
      </c>
      <c r="AW24" s="6">
        <f>'NiPA-62-F_UG_6__2026-03-24_13-2'!T29</f>
        <v/>
      </c>
      <c r="AX24" s="6">
        <f>'NiPA-62-F_UG_7__2026-03-24_13-3'!T29</f>
        <v/>
      </c>
    </row>
    <row r="25">
      <c r="A25" s="3">
        <f>'NiPA-62-F_UG_7__2026-03-24_13-3'!B30</f>
        <v/>
      </c>
      <c r="B25" s="4">
        <f>A25/1000000000</f>
        <v/>
      </c>
      <c r="C25" s="5">
        <f>№1!U30</f>
        <v/>
      </c>
      <c r="D25" s="5">
        <f>'NiPA-62-F_UG_1__2026-03-24_11-4'!U30</f>
        <v/>
      </c>
      <c r="E25" s="5">
        <f>'NiPA-62-F_UG_2__2026-03-24_11-5'!U30</f>
        <v/>
      </c>
      <c r="F25" s="5">
        <f>'NiPA-62-F_UG_3__2026-03-24_13-0'!U30</f>
        <v/>
      </c>
      <c r="G25" s="5">
        <f>'NiPA-62-F_UG_4__2026-03-24_13-1'!U30</f>
        <v/>
      </c>
      <c r="H25" s="5">
        <f>'NiPA-62-F_UG_5__2026-03-24_13-2'!U30</f>
        <v/>
      </c>
      <c r="I25" s="5">
        <f>'NiPA-62-F_UG_6__2026-03-24_13-2'!U30</f>
        <v/>
      </c>
      <c r="J25" s="5">
        <f>'NiPA-62-F_UG_7__2026-03-24_13-3'!U30</f>
        <v/>
      </c>
      <c r="K25" s="6">
        <f>№1!P30</f>
        <v/>
      </c>
      <c r="L25" s="6">
        <f>'NiPA-62-F_UG_1__2026-03-24_11-4'!P30</f>
        <v/>
      </c>
      <c r="M25" s="6">
        <f>'NiPA-62-F_UG_2__2026-03-24_11-5'!P30</f>
        <v/>
      </c>
      <c r="N25" s="6">
        <f>'NiPA-62-F_UG_3__2026-03-24_13-0'!P30</f>
        <v/>
      </c>
      <c r="O25" s="6">
        <f>'NiPA-62-F_UG_4__2026-03-24_13-1'!P30</f>
        <v/>
      </c>
      <c r="P25" s="6">
        <f>'NiPA-62-F_UG_5__2026-03-24_13-2'!P30</f>
        <v/>
      </c>
      <c r="Q25" s="6">
        <f>'NiPA-62-F_UG_6__2026-03-24_13-2'!P30</f>
        <v/>
      </c>
      <c r="R25" s="6">
        <f>'NiPA-62-F_UG_7__2026-03-24_13-3'!P30</f>
        <v/>
      </c>
      <c r="S25" s="5">
        <f>№1!R30</f>
        <v/>
      </c>
      <c r="T25" s="5">
        <f>'NiPA-62-F_UG_1__2026-03-24_11-4'!R30</f>
        <v/>
      </c>
      <c r="U25" s="5">
        <f>'NiPA-62-F_UG_2__2026-03-24_11-5'!R30</f>
        <v/>
      </c>
      <c r="V25" s="5">
        <f>'NiPA-62-F_UG_3__2026-03-24_13-0'!R30</f>
        <v/>
      </c>
      <c r="W25" s="5">
        <f>'NiPA-62-F_UG_4__2026-03-24_13-1'!R30</f>
        <v/>
      </c>
      <c r="X25" s="5">
        <f>'NiPA-62-F_UG_5__2026-03-24_13-2'!R30</f>
        <v/>
      </c>
      <c r="Y25" s="5">
        <f>'NiPA-62-F_UG_6__2026-03-24_13-2'!R30</f>
        <v/>
      </c>
      <c r="Z25" s="5">
        <f>'NiPA-62-F_UG_7__2026-03-24_13-3'!R30</f>
        <v/>
      </c>
      <c r="AA25" s="6">
        <f>№1!Q30</f>
        <v/>
      </c>
      <c r="AB25" s="6">
        <f>'NiPA-62-F_UG_1__2026-03-24_11-4'!Q30</f>
        <v/>
      </c>
      <c r="AC25" s="6">
        <f>'NiPA-62-F_UG_2__2026-03-24_11-5'!Q30</f>
        <v/>
      </c>
      <c r="AD25" s="6">
        <f>'NiPA-62-F_UG_3__2026-03-24_13-0'!Q30</f>
        <v/>
      </c>
      <c r="AE25" s="6">
        <f>'NiPA-62-F_UG_4__2026-03-24_13-1'!Q30</f>
        <v/>
      </c>
      <c r="AF25" s="6">
        <f>'NiPA-62-F_UG_5__2026-03-24_13-2'!Q30</f>
        <v/>
      </c>
      <c r="AG25" s="6">
        <f>'NiPA-62-F_UG_6__2026-03-24_13-2'!Q30</f>
        <v/>
      </c>
      <c r="AH25" s="6">
        <f>'NiPA-62-F_UG_7__2026-03-24_13-3'!Q30</f>
        <v/>
      </c>
      <c r="AI25" s="5">
        <f>№1!S30</f>
        <v/>
      </c>
      <c r="AJ25" s="5">
        <f>'NiPA-62-F_UG_1__2026-03-24_11-4'!S30</f>
        <v/>
      </c>
      <c r="AK25" s="5">
        <f>'NiPA-62-F_UG_2__2026-03-24_11-5'!S30</f>
        <v/>
      </c>
      <c r="AL25" s="5">
        <f>'NiPA-62-F_UG_3__2026-03-24_13-0'!S30</f>
        <v/>
      </c>
      <c r="AM25" s="5">
        <f>'NiPA-62-F_UG_4__2026-03-24_13-1'!S30</f>
        <v/>
      </c>
      <c r="AN25" s="5">
        <f>'NiPA-62-F_UG_5__2026-03-24_13-2'!S30</f>
        <v/>
      </c>
      <c r="AO25" s="5">
        <f>'NiPA-62-F_UG_6__2026-03-24_13-2'!S30</f>
        <v/>
      </c>
      <c r="AP25" s="5">
        <f>'NiPA-62-F_UG_7__2026-03-24_13-3'!S30</f>
        <v/>
      </c>
      <c r="AQ25" s="6">
        <f>№1!T30</f>
        <v/>
      </c>
      <c r="AR25" s="6">
        <f>'NiPA-62-F_UG_1__2026-03-24_11-4'!T30</f>
        <v/>
      </c>
      <c r="AS25" s="6">
        <f>'NiPA-62-F_UG_2__2026-03-24_11-5'!T30</f>
        <v/>
      </c>
      <c r="AT25" s="6">
        <f>'NiPA-62-F_UG_3__2026-03-24_13-0'!T30</f>
        <v/>
      </c>
      <c r="AU25" s="6">
        <f>'NiPA-62-F_UG_4__2026-03-24_13-1'!T30</f>
        <v/>
      </c>
      <c r="AV25" s="6">
        <f>'NiPA-62-F_UG_5__2026-03-24_13-2'!T30</f>
        <v/>
      </c>
      <c r="AW25" s="6">
        <f>'NiPA-62-F_UG_6__2026-03-24_13-2'!T30</f>
        <v/>
      </c>
      <c r="AX25" s="6">
        <f>'NiPA-62-F_UG_7__2026-03-24_13-3'!T30</f>
        <v/>
      </c>
    </row>
    <row r="26">
      <c r="A26" s="4">
        <f>'NiPA-62-F_UG_7__2026-03-24_13-3'!B31</f>
        <v/>
      </c>
      <c r="B26" s="4">
        <f>A26/1000000000</f>
        <v/>
      </c>
      <c r="C26" s="5">
        <f>№1!U31</f>
        <v/>
      </c>
      <c r="D26" s="5">
        <f>'NiPA-62-F_UG_1__2026-03-24_11-4'!U31</f>
        <v/>
      </c>
      <c r="E26" s="5">
        <f>'NiPA-62-F_UG_2__2026-03-24_11-5'!U31</f>
        <v/>
      </c>
      <c r="F26" s="5">
        <f>'NiPA-62-F_UG_3__2026-03-24_13-0'!U31</f>
        <v/>
      </c>
      <c r="G26" s="5">
        <f>'NiPA-62-F_UG_4__2026-03-24_13-1'!U31</f>
        <v/>
      </c>
      <c r="H26" s="5">
        <f>'NiPA-62-F_UG_5__2026-03-24_13-2'!U31</f>
        <v/>
      </c>
      <c r="I26" s="5">
        <f>'NiPA-62-F_UG_6__2026-03-24_13-2'!U31</f>
        <v/>
      </c>
      <c r="J26" s="5">
        <f>'NiPA-62-F_UG_7__2026-03-24_13-3'!U31</f>
        <v/>
      </c>
      <c r="K26" s="6">
        <f>№1!P31</f>
        <v/>
      </c>
      <c r="L26" s="6">
        <f>'NiPA-62-F_UG_1__2026-03-24_11-4'!P31</f>
        <v/>
      </c>
      <c r="M26" s="6">
        <f>'NiPA-62-F_UG_2__2026-03-24_11-5'!P31</f>
        <v/>
      </c>
      <c r="N26" s="6">
        <f>'NiPA-62-F_UG_3__2026-03-24_13-0'!P31</f>
        <v/>
      </c>
      <c r="O26" s="6">
        <f>'NiPA-62-F_UG_4__2026-03-24_13-1'!P31</f>
        <v/>
      </c>
      <c r="P26" s="6">
        <f>'NiPA-62-F_UG_5__2026-03-24_13-2'!P31</f>
        <v/>
      </c>
      <c r="Q26" s="6">
        <f>'NiPA-62-F_UG_6__2026-03-24_13-2'!P31</f>
        <v/>
      </c>
      <c r="R26" s="6">
        <f>'NiPA-62-F_UG_7__2026-03-24_13-3'!P31</f>
        <v/>
      </c>
      <c r="S26" s="5">
        <f>№1!R31</f>
        <v/>
      </c>
      <c r="T26" s="5">
        <f>'NiPA-62-F_UG_1__2026-03-24_11-4'!R31</f>
        <v/>
      </c>
      <c r="U26" s="5">
        <f>'NiPA-62-F_UG_2__2026-03-24_11-5'!R31</f>
        <v/>
      </c>
      <c r="V26" s="5">
        <f>'NiPA-62-F_UG_3__2026-03-24_13-0'!R31</f>
        <v/>
      </c>
      <c r="W26" s="5">
        <f>'NiPA-62-F_UG_4__2026-03-24_13-1'!R31</f>
        <v/>
      </c>
      <c r="X26" s="5">
        <f>'NiPA-62-F_UG_5__2026-03-24_13-2'!R31</f>
        <v/>
      </c>
      <c r="Y26" s="5">
        <f>'NiPA-62-F_UG_6__2026-03-24_13-2'!R31</f>
        <v/>
      </c>
      <c r="Z26" s="5">
        <f>'NiPA-62-F_UG_7__2026-03-24_13-3'!R31</f>
        <v/>
      </c>
      <c r="AA26" s="6">
        <f>№1!Q31</f>
        <v/>
      </c>
      <c r="AB26" s="6">
        <f>'NiPA-62-F_UG_1__2026-03-24_11-4'!Q31</f>
        <v/>
      </c>
      <c r="AC26" s="6">
        <f>'NiPA-62-F_UG_2__2026-03-24_11-5'!Q31</f>
        <v/>
      </c>
      <c r="AD26" s="6">
        <f>'NiPA-62-F_UG_3__2026-03-24_13-0'!Q31</f>
        <v/>
      </c>
      <c r="AE26" s="6">
        <f>'NiPA-62-F_UG_4__2026-03-24_13-1'!Q31</f>
        <v/>
      </c>
      <c r="AF26" s="6">
        <f>'NiPA-62-F_UG_5__2026-03-24_13-2'!Q31</f>
        <v/>
      </c>
      <c r="AG26" s="6">
        <f>'NiPA-62-F_UG_6__2026-03-24_13-2'!Q31</f>
        <v/>
      </c>
      <c r="AH26" s="6">
        <f>'NiPA-62-F_UG_7__2026-03-24_13-3'!Q31</f>
        <v/>
      </c>
      <c r="AI26" s="5">
        <f>№1!S31</f>
        <v/>
      </c>
      <c r="AJ26" s="5">
        <f>'NiPA-62-F_UG_1__2026-03-24_11-4'!S31</f>
        <v/>
      </c>
      <c r="AK26" s="5">
        <f>'NiPA-62-F_UG_2__2026-03-24_11-5'!S31</f>
        <v/>
      </c>
      <c r="AL26" s="5">
        <f>'NiPA-62-F_UG_3__2026-03-24_13-0'!S31</f>
        <v/>
      </c>
      <c r="AM26" s="5">
        <f>'NiPA-62-F_UG_4__2026-03-24_13-1'!S31</f>
        <v/>
      </c>
      <c r="AN26" s="5">
        <f>'NiPA-62-F_UG_5__2026-03-24_13-2'!S31</f>
        <v/>
      </c>
      <c r="AO26" s="5">
        <f>'NiPA-62-F_UG_6__2026-03-24_13-2'!S31</f>
        <v/>
      </c>
      <c r="AP26" s="5">
        <f>'NiPA-62-F_UG_7__2026-03-24_13-3'!S31</f>
        <v/>
      </c>
      <c r="AQ26" s="6">
        <f>№1!T31</f>
        <v/>
      </c>
      <c r="AR26" s="6">
        <f>'NiPA-62-F_UG_1__2026-03-24_11-4'!T31</f>
        <v/>
      </c>
      <c r="AS26" s="6">
        <f>'NiPA-62-F_UG_2__2026-03-24_11-5'!T31</f>
        <v/>
      </c>
      <c r="AT26" s="6">
        <f>'NiPA-62-F_UG_3__2026-03-24_13-0'!T31</f>
        <v/>
      </c>
      <c r="AU26" s="6">
        <f>'NiPA-62-F_UG_4__2026-03-24_13-1'!T31</f>
        <v/>
      </c>
      <c r="AV26" s="6">
        <f>'NiPA-62-F_UG_5__2026-03-24_13-2'!T31</f>
        <v/>
      </c>
      <c r="AW26" s="6">
        <f>'NiPA-62-F_UG_6__2026-03-24_13-2'!T31</f>
        <v/>
      </c>
      <c r="AX26" s="6">
        <f>'NiPA-62-F_UG_7__2026-03-24_13-3'!T31</f>
        <v/>
      </c>
    </row>
    <row r="27">
      <c r="A27" s="3">
        <f>'NiPA-62-F_UG_7__2026-03-24_13-3'!B32</f>
        <v/>
      </c>
      <c r="B27" s="4">
        <f>A27/1000000000</f>
        <v/>
      </c>
      <c r="C27" s="5">
        <f>№1!U32</f>
        <v/>
      </c>
      <c r="D27" s="5">
        <f>'NiPA-62-F_UG_1__2026-03-24_11-4'!U32</f>
        <v/>
      </c>
      <c r="E27" s="5">
        <f>'NiPA-62-F_UG_2__2026-03-24_11-5'!U32</f>
        <v/>
      </c>
      <c r="F27" s="5">
        <f>'NiPA-62-F_UG_3__2026-03-24_13-0'!U32</f>
        <v/>
      </c>
      <c r="G27" s="5">
        <f>'NiPA-62-F_UG_4__2026-03-24_13-1'!U32</f>
        <v/>
      </c>
      <c r="H27" s="5">
        <f>'NiPA-62-F_UG_5__2026-03-24_13-2'!U32</f>
        <v/>
      </c>
      <c r="I27" s="5">
        <f>'NiPA-62-F_UG_6__2026-03-24_13-2'!U32</f>
        <v/>
      </c>
      <c r="J27" s="5">
        <f>'NiPA-62-F_UG_7__2026-03-24_13-3'!U32</f>
        <v/>
      </c>
      <c r="K27" s="6">
        <f>№1!P32</f>
        <v/>
      </c>
      <c r="L27" s="6">
        <f>'NiPA-62-F_UG_1__2026-03-24_11-4'!P32</f>
        <v/>
      </c>
      <c r="M27" s="6">
        <f>'NiPA-62-F_UG_2__2026-03-24_11-5'!P32</f>
        <v/>
      </c>
      <c r="N27" s="6">
        <f>'NiPA-62-F_UG_3__2026-03-24_13-0'!P32</f>
        <v/>
      </c>
      <c r="O27" s="6">
        <f>'NiPA-62-F_UG_4__2026-03-24_13-1'!P32</f>
        <v/>
      </c>
      <c r="P27" s="6">
        <f>'NiPA-62-F_UG_5__2026-03-24_13-2'!P32</f>
        <v/>
      </c>
      <c r="Q27" s="6">
        <f>'NiPA-62-F_UG_6__2026-03-24_13-2'!P32</f>
        <v/>
      </c>
      <c r="R27" s="6">
        <f>'NiPA-62-F_UG_7__2026-03-24_13-3'!P32</f>
        <v/>
      </c>
      <c r="S27" s="5">
        <f>№1!R32</f>
        <v/>
      </c>
      <c r="T27" s="5">
        <f>'NiPA-62-F_UG_1__2026-03-24_11-4'!R32</f>
        <v/>
      </c>
      <c r="U27" s="5">
        <f>'NiPA-62-F_UG_2__2026-03-24_11-5'!R32</f>
        <v/>
      </c>
      <c r="V27" s="5">
        <f>'NiPA-62-F_UG_3__2026-03-24_13-0'!R32</f>
        <v/>
      </c>
      <c r="W27" s="5">
        <f>'NiPA-62-F_UG_4__2026-03-24_13-1'!R32</f>
        <v/>
      </c>
      <c r="X27" s="5">
        <f>'NiPA-62-F_UG_5__2026-03-24_13-2'!R32</f>
        <v/>
      </c>
      <c r="Y27" s="5">
        <f>'NiPA-62-F_UG_6__2026-03-24_13-2'!R32</f>
        <v/>
      </c>
      <c r="Z27" s="5">
        <f>'NiPA-62-F_UG_7__2026-03-24_13-3'!R32</f>
        <v/>
      </c>
      <c r="AA27" s="6">
        <f>№1!Q32</f>
        <v/>
      </c>
      <c r="AB27" s="6">
        <f>'NiPA-62-F_UG_1__2026-03-24_11-4'!Q32</f>
        <v/>
      </c>
      <c r="AC27" s="6">
        <f>'NiPA-62-F_UG_2__2026-03-24_11-5'!Q32</f>
        <v/>
      </c>
      <c r="AD27" s="6">
        <f>'NiPA-62-F_UG_3__2026-03-24_13-0'!Q32</f>
        <v/>
      </c>
      <c r="AE27" s="6">
        <f>'NiPA-62-F_UG_4__2026-03-24_13-1'!Q32</f>
        <v/>
      </c>
      <c r="AF27" s="6">
        <f>'NiPA-62-F_UG_5__2026-03-24_13-2'!Q32</f>
        <v/>
      </c>
      <c r="AG27" s="6">
        <f>'NiPA-62-F_UG_6__2026-03-24_13-2'!Q32</f>
        <v/>
      </c>
      <c r="AH27" s="6">
        <f>'NiPA-62-F_UG_7__2026-03-24_13-3'!Q32</f>
        <v/>
      </c>
      <c r="AI27" s="5">
        <f>№1!S32</f>
        <v/>
      </c>
      <c r="AJ27" s="5">
        <f>'NiPA-62-F_UG_1__2026-03-24_11-4'!S32</f>
        <v/>
      </c>
      <c r="AK27" s="5">
        <f>'NiPA-62-F_UG_2__2026-03-24_11-5'!S32</f>
        <v/>
      </c>
      <c r="AL27" s="5">
        <f>'NiPA-62-F_UG_3__2026-03-24_13-0'!S32</f>
        <v/>
      </c>
      <c r="AM27" s="5">
        <f>'NiPA-62-F_UG_4__2026-03-24_13-1'!S32</f>
        <v/>
      </c>
      <c r="AN27" s="5">
        <f>'NiPA-62-F_UG_5__2026-03-24_13-2'!S32</f>
        <v/>
      </c>
      <c r="AO27" s="5">
        <f>'NiPA-62-F_UG_6__2026-03-24_13-2'!S32</f>
        <v/>
      </c>
      <c r="AP27" s="5">
        <f>'NiPA-62-F_UG_7__2026-03-24_13-3'!S32</f>
        <v/>
      </c>
      <c r="AQ27" s="6">
        <f>№1!T32</f>
        <v/>
      </c>
      <c r="AR27" s="6">
        <f>'NiPA-62-F_UG_1__2026-03-24_11-4'!T32</f>
        <v/>
      </c>
      <c r="AS27" s="6">
        <f>'NiPA-62-F_UG_2__2026-03-24_11-5'!T32</f>
        <v/>
      </c>
      <c r="AT27" s="6">
        <f>'NiPA-62-F_UG_3__2026-03-24_13-0'!T32</f>
        <v/>
      </c>
      <c r="AU27" s="6">
        <f>'NiPA-62-F_UG_4__2026-03-24_13-1'!T32</f>
        <v/>
      </c>
      <c r="AV27" s="6">
        <f>'NiPA-62-F_UG_5__2026-03-24_13-2'!T32</f>
        <v/>
      </c>
      <c r="AW27" s="6">
        <f>'NiPA-62-F_UG_6__2026-03-24_13-2'!T32</f>
        <v/>
      </c>
      <c r="AX27" s="6">
        <f>'NiPA-62-F_UG_7__2026-03-24_13-3'!T32</f>
        <v/>
      </c>
    </row>
    <row r="28">
      <c r="A28" s="4">
        <f>'NiPA-62-F_UG_7__2026-03-24_13-3'!B33</f>
        <v/>
      </c>
      <c r="B28" s="4">
        <f>A28/1000000000</f>
        <v/>
      </c>
      <c r="C28" s="5">
        <f>№1!U33</f>
        <v/>
      </c>
      <c r="D28" s="5">
        <f>'NiPA-62-F_UG_1__2026-03-24_11-4'!U33</f>
        <v/>
      </c>
      <c r="E28" s="5">
        <f>'NiPA-62-F_UG_2__2026-03-24_11-5'!U33</f>
        <v/>
      </c>
      <c r="F28" s="5">
        <f>'NiPA-62-F_UG_3__2026-03-24_13-0'!U33</f>
        <v/>
      </c>
      <c r="G28" s="5">
        <f>'NiPA-62-F_UG_4__2026-03-24_13-1'!U33</f>
        <v/>
      </c>
      <c r="H28" s="5">
        <f>'NiPA-62-F_UG_5__2026-03-24_13-2'!U33</f>
        <v/>
      </c>
      <c r="I28" s="5">
        <f>'NiPA-62-F_UG_6__2026-03-24_13-2'!U33</f>
        <v/>
      </c>
      <c r="J28" s="5">
        <f>'NiPA-62-F_UG_7__2026-03-24_13-3'!U33</f>
        <v/>
      </c>
      <c r="K28" s="6">
        <f>№1!P33</f>
        <v/>
      </c>
      <c r="L28" s="6">
        <f>'NiPA-62-F_UG_1__2026-03-24_11-4'!P33</f>
        <v/>
      </c>
      <c r="M28" s="6">
        <f>'NiPA-62-F_UG_2__2026-03-24_11-5'!P33</f>
        <v/>
      </c>
      <c r="N28" s="6">
        <f>'NiPA-62-F_UG_3__2026-03-24_13-0'!P33</f>
        <v/>
      </c>
      <c r="O28" s="6">
        <f>'NiPA-62-F_UG_4__2026-03-24_13-1'!P33</f>
        <v/>
      </c>
      <c r="P28" s="6">
        <f>'NiPA-62-F_UG_5__2026-03-24_13-2'!P33</f>
        <v/>
      </c>
      <c r="Q28" s="6">
        <f>'NiPA-62-F_UG_6__2026-03-24_13-2'!P33</f>
        <v/>
      </c>
      <c r="R28" s="6">
        <f>'NiPA-62-F_UG_7__2026-03-24_13-3'!P33</f>
        <v/>
      </c>
      <c r="S28" s="5">
        <f>№1!R33</f>
        <v/>
      </c>
      <c r="T28" s="5">
        <f>'NiPA-62-F_UG_1__2026-03-24_11-4'!R33</f>
        <v/>
      </c>
      <c r="U28" s="5">
        <f>'NiPA-62-F_UG_2__2026-03-24_11-5'!R33</f>
        <v/>
      </c>
      <c r="V28" s="5">
        <f>'NiPA-62-F_UG_3__2026-03-24_13-0'!R33</f>
        <v/>
      </c>
      <c r="W28" s="5">
        <f>'NiPA-62-F_UG_4__2026-03-24_13-1'!R33</f>
        <v/>
      </c>
      <c r="X28" s="5">
        <f>'NiPA-62-F_UG_5__2026-03-24_13-2'!R33</f>
        <v/>
      </c>
      <c r="Y28" s="5">
        <f>'NiPA-62-F_UG_6__2026-03-24_13-2'!R33</f>
        <v/>
      </c>
      <c r="Z28" s="5">
        <f>'NiPA-62-F_UG_7__2026-03-24_13-3'!R33</f>
        <v/>
      </c>
      <c r="AA28" s="6">
        <f>№1!Q33</f>
        <v/>
      </c>
      <c r="AB28" s="6">
        <f>'NiPA-62-F_UG_1__2026-03-24_11-4'!Q33</f>
        <v/>
      </c>
      <c r="AC28" s="6">
        <f>'NiPA-62-F_UG_2__2026-03-24_11-5'!Q33</f>
        <v/>
      </c>
      <c r="AD28" s="6">
        <f>'NiPA-62-F_UG_3__2026-03-24_13-0'!Q33</f>
        <v/>
      </c>
      <c r="AE28" s="6">
        <f>'NiPA-62-F_UG_4__2026-03-24_13-1'!Q33</f>
        <v/>
      </c>
      <c r="AF28" s="6">
        <f>'NiPA-62-F_UG_5__2026-03-24_13-2'!Q33</f>
        <v/>
      </c>
      <c r="AG28" s="6">
        <f>'NiPA-62-F_UG_6__2026-03-24_13-2'!Q33</f>
        <v/>
      </c>
      <c r="AH28" s="6">
        <f>'NiPA-62-F_UG_7__2026-03-24_13-3'!Q33</f>
        <v/>
      </c>
      <c r="AI28" s="5">
        <f>№1!S33</f>
        <v/>
      </c>
      <c r="AJ28" s="5">
        <f>'NiPA-62-F_UG_1__2026-03-24_11-4'!S33</f>
        <v/>
      </c>
      <c r="AK28" s="5">
        <f>'NiPA-62-F_UG_2__2026-03-24_11-5'!S33</f>
        <v/>
      </c>
      <c r="AL28" s="5">
        <f>'NiPA-62-F_UG_3__2026-03-24_13-0'!S33</f>
        <v/>
      </c>
      <c r="AM28" s="5">
        <f>'NiPA-62-F_UG_4__2026-03-24_13-1'!S33</f>
        <v/>
      </c>
      <c r="AN28" s="5">
        <f>'NiPA-62-F_UG_5__2026-03-24_13-2'!S33</f>
        <v/>
      </c>
      <c r="AO28" s="5">
        <f>'NiPA-62-F_UG_6__2026-03-24_13-2'!S33</f>
        <v/>
      </c>
      <c r="AP28" s="5">
        <f>'NiPA-62-F_UG_7__2026-03-24_13-3'!S33</f>
        <v/>
      </c>
      <c r="AQ28" s="6">
        <f>№1!T33</f>
        <v/>
      </c>
      <c r="AR28" s="6">
        <f>'NiPA-62-F_UG_1__2026-03-24_11-4'!T33</f>
        <v/>
      </c>
      <c r="AS28" s="6">
        <f>'NiPA-62-F_UG_2__2026-03-24_11-5'!T33</f>
        <v/>
      </c>
      <c r="AT28" s="6">
        <f>'NiPA-62-F_UG_3__2026-03-24_13-0'!T33</f>
        <v/>
      </c>
      <c r="AU28" s="6">
        <f>'NiPA-62-F_UG_4__2026-03-24_13-1'!T33</f>
        <v/>
      </c>
      <c r="AV28" s="6">
        <f>'NiPA-62-F_UG_5__2026-03-24_13-2'!T33</f>
        <v/>
      </c>
      <c r="AW28" s="6">
        <f>'NiPA-62-F_UG_6__2026-03-24_13-2'!T33</f>
        <v/>
      </c>
      <c r="AX28" s="6">
        <f>'NiPA-62-F_UG_7__2026-03-24_13-3'!T33</f>
        <v/>
      </c>
    </row>
    <row r="29">
      <c r="A29" s="3">
        <f>'NiPA-62-F_UG_7__2026-03-24_13-3'!B34</f>
        <v/>
      </c>
      <c r="B29" s="4">
        <f>A29/1000000000</f>
        <v/>
      </c>
      <c r="C29" s="5">
        <f>№1!U34</f>
        <v/>
      </c>
      <c r="D29" s="5">
        <f>'NiPA-62-F_UG_1__2026-03-24_11-4'!U34</f>
        <v/>
      </c>
      <c r="E29" s="5">
        <f>'NiPA-62-F_UG_2__2026-03-24_11-5'!U34</f>
        <v/>
      </c>
      <c r="F29" s="5">
        <f>'NiPA-62-F_UG_3__2026-03-24_13-0'!U34</f>
        <v/>
      </c>
      <c r="G29" s="5">
        <f>'NiPA-62-F_UG_4__2026-03-24_13-1'!U34</f>
        <v/>
      </c>
      <c r="H29" s="5">
        <f>'NiPA-62-F_UG_5__2026-03-24_13-2'!U34</f>
        <v/>
      </c>
      <c r="I29" s="5">
        <f>'NiPA-62-F_UG_6__2026-03-24_13-2'!U34</f>
        <v/>
      </c>
      <c r="J29" s="5">
        <f>'NiPA-62-F_UG_7__2026-03-24_13-3'!U34</f>
        <v/>
      </c>
      <c r="K29" s="6">
        <f>№1!P34</f>
        <v/>
      </c>
      <c r="L29" s="6">
        <f>'NiPA-62-F_UG_1__2026-03-24_11-4'!P34</f>
        <v/>
      </c>
      <c r="M29" s="6">
        <f>'NiPA-62-F_UG_2__2026-03-24_11-5'!P34</f>
        <v/>
      </c>
      <c r="N29" s="6">
        <f>'NiPA-62-F_UG_3__2026-03-24_13-0'!P34</f>
        <v/>
      </c>
      <c r="O29" s="6">
        <f>'NiPA-62-F_UG_4__2026-03-24_13-1'!P34</f>
        <v/>
      </c>
      <c r="P29" s="6">
        <f>'NiPA-62-F_UG_5__2026-03-24_13-2'!P34</f>
        <v/>
      </c>
      <c r="Q29" s="6">
        <f>'NiPA-62-F_UG_6__2026-03-24_13-2'!P34</f>
        <v/>
      </c>
      <c r="R29" s="6">
        <f>'NiPA-62-F_UG_7__2026-03-24_13-3'!P34</f>
        <v/>
      </c>
      <c r="S29" s="5">
        <f>№1!R34</f>
        <v/>
      </c>
      <c r="T29" s="5">
        <f>'NiPA-62-F_UG_1__2026-03-24_11-4'!R34</f>
        <v/>
      </c>
      <c r="U29" s="5">
        <f>'NiPA-62-F_UG_2__2026-03-24_11-5'!R34</f>
        <v/>
      </c>
      <c r="V29" s="5">
        <f>'NiPA-62-F_UG_3__2026-03-24_13-0'!R34</f>
        <v/>
      </c>
      <c r="W29" s="5">
        <f>'NiPA-62-F_UG_4__2026-03-24_13-1'!R34</f>
        <v/>
      </c>
      <c r="X29" s="5">
        <f>'NiPA-62-F_UG_5__2026-03-24_13-2'!R34</f>
        <v/>
      </c>
      <c r="Y29" s="5">
        <f>'NiPA-62-F_UG_6__2026-03-24_13-2'!R34</f>
        <v/>
      </c>
      <c r="Z29" s="5">
        <f>'NiPA-62-F_UG_7__2026-03-24_13-3'!R34</f>
        <v/>
      </c>
      <c r="AA29" s="6">
        <f>№1!Q34</f>
        <v/>
      </c>
      <c r="AB29" s="6">
        <f>'NiPA-62-F_UG_1__2026-03-24_11-4'!Q34</f>
        <v/>
      </c>
      <c r="AC29" s="6">
        <f>'NiPA-62-F_UG_2__2026-03-24_11-5'!Q34</f>
        <v/>
      </c>
      <c r="AD29" s="6">
        <f>'NiPA-62-F_UG_3__2026-03-24_13-0'!Q34</f>
        <v/>
      </c>
      <c r="AE29" s="6">
        <f>'NiPA-62-F_UG_4__2026-03-24_13-1'!Q34</f>
        <v/>
      </c>
      <c r="AF29" s="6">
        <f>'NiPA-62-F_UG_5__2026-03-24_13-2'!Q34</f>
        <v/>
      </c>
      <c r="AG29" s="6">
        <f>'NiPA-62-F_UG_6__2026-03-24_13-2'!Q34</f>
        <v/>
      </c>
      <c r="AH29" s="6">
        <f>'NiPA-62-F_UG_7__2026-03-24_13-3'!Q34</f>
        <v/>
      </c>
      <c r="AI29" s="5">
        <f>№1!S34</f>
        <v/>
      </c>
      <c r="AJ29" s="5">
        <f>'NiPA-62-F_UG_1__2026-03-24_11-4'!S34</f>
        <v/>
      </c>
      <c r="AK29" s="5">
        <f>'NiPA-62-F_UG_2__2026-03-24_11-5'!S34</f>
        <v/>
      </c>
      <c r="AL29" s="5">
        <f>'NiPA-62-F_UG_3__2026-03-24_13-0'!S34</f>
        <v/>
      </c>
      <c r="AM29" s="5">
        <f>'NiPA-62-F_UG_4__2026-03-24_13-1'!S34</f>
        <v/>
      </c>
      <c r="AN29" s="5">
        <f>'NiPA-62-F_UG_5__2026-03-24_13-2'!S34</f>
        <v/>
      </c>
      <c r="AO29" s="5">
        <f>'NiPA-62-F_UG_6__2026-03-24_13-2'!S34</f>
        <v/>
      </c>
      <c r="AP29" s="5">
        <f>'NiPA-62-F_UG_7__2026-03-24_13-3'!S34</f>
        <v/>
      </c>
      <c r="AQ29" s="6">
        <f>№1!T34</f>
        <v/>
      </c>
      <c r="AR29" s="6">
        <f>'NiPA-62-F_UG_1__2026-03-24_11-4'!T34</f>
        <v/>
      </c>
      <c r="AS29" s="6">
        <f>'NiPA-62-F_UG_2__2026-03-24_11-5'!T34</f>
        <v/>
      </c>
      <c r="AT29" s="6">
        <f>'NiPA-62-F_UG_3__2026-03-24_13-0'!T34</f>
        <v/>
      </c>
      <c r="AU29" s="6">
        <f>'NiPA-62-F_UG_4__2026-03-24_13-1'!T34</f>
        <v/>
      </c>
      <c r="AV29" s="6">
        <f>'NiPA-62-F_UG_5__2026-03-24_13-2'!T34</f>
        <v/>
      </c>
      <c r="AW29" s="6">
        <f>'NiPA-62-F_UG_6__2026-03-24_13-2'!T34</f>
        <v/>
      </c>
      <c r="AX29" s="6">
        <f>'NiPA-62-F_UG_7__2026-03-24_13-3'!T34</f>
        <v/>
      </c>
    </row>
    <row r="30">
      <c r="A30" s="4">
        <f>'NiPA-62-F_UG_7__2026-03-24_13-3'!B35</f>
        <v/>
      </c>
      <c r="B30" s="4">
        <f>A30/1000000000</f>
        <v/>
      </c>
      <c r="C30" s="5">
        <f>№1!U35</f>
        <v/>
      </c>
      <c r="D30" s="5">
        <f>'NiPA-62-F_UG_1__2026-03-24_11-4'!U35</f>
        <v/>
      </c>
      <c r="E30" s="5">
        <f>'NiPA-62-F_UG_2__2026-03-24_11-5'!U35</f>
        <v/>
      </c>
      <c r="F30" s="5">
        <f>'NiPA-62-F_UG_3__2026-03-24_13-0'!U35</f>
        <v/>
      </c>
      <c r="G30" s="5">
        <f>'NiPA-62-F_UG_4__2026-03-24_13-1'!U35</f>
        <v/>
      </c>
      <c r="H30" s="5">
        <f>'NiPA-62-F_UG_5__2026-03-24_13-2'!U35</f>
        <v/>
      </c>
      <c r="I30" s="5">
        <f>'NiPA-62-F_UG_6__2026-03-24_13-2'!U35</f>
        <v/>
      </c>
      <c r="J30" s="5">
        <f>'NiPA-62-F_UG_7__2026-03-24_13-3'!U35</f>
        <v/>
      </c>
      <c r="K30" s="6">
        <f>№1!P35</f>
        <v/>
      </c>
      <c r="L30" s="6">
        <f>'NiPA-62-F_UG_1__2026-03-24_11-4'!P35</f>
        <v/>
      </c>
      <c r="M30" s="6">
        <f>'NiPA-62-F_UG_2__2026-03-24_11-5'!P35</f>
        <v/>
      </c>
      <c r="N30" s="6">
        <f>'NiPA-62-F_UG_3__2026-03-24_13-0'!P35</f>
        <v/>
      </c>
      <c r="O30" s="6">
        <f>'NiPA-62-F_UG_4__2026-03-24_13-1'!P35</f>
        <v/>
      </c>
      <c r="P30" s="6">
        <f>'NiPA-62-F_UG_5__2026-03-24_13-2'!P35</f>
        <v/>
      </c>
      <c r="Q30" s="6">
        <f>'NiPA-62-F_UG_6__2026-03-24_13-2'!P35</f>
        <v/>
      </c>
      <c r="R30" s="6">
        <f>'NiPA-62-F_UG_7__2026-03-24_13-3'!P35</f>
        <v/>
      </c>
      <c r="S30" s="5">
        <f>№1!R35</f>
        <v/>
      </c>
      <c r="T30" s="5">
        <f>'NiPA-62-F_UG_1__2026-03-24_11-4'!R35</f>
        <v/>
      </c>
      <c r="U30" s="5">
        <f>'NiPA-62-F_UG_2__2026-03-24_11-5'!R35</f>
        <v/>
      </c>
      <c r="V30" s="5">
        <f>'NiPA-62-F_UG_3__2026-03-24_13-0'!R35</f>
        <v/>
      </c>
      <c r="W30" s="5">
        <f>'NiPA-62-F_UG_4__2026-03-24_13-1'!R35</f>
        <v/>
      </c>
      <c r="X30" s="5">
        <f>'NiPA-62-F_UG_5__2026-03-24_13-2'!R35</f>
        <v/>
      </c>
      <c r="Y30" s="5">
        <f>'NiPA-62-F_UG_6__2026-03-24_13-2'!R35</f>
        <v/>
      </c>
      <c r="Z30" s="5">
        <f>'NiPA-62-F_UG_7__2026-03-24_13-3'!R35</f>
        <v/>
      </c>
      <c r="AA30" s="6">
        <f>№1!Q35</f>
        <v/>
      </c>
      <c r="AB30" s="6">
        <f>'NiPA-62-F_UG_1__2026-03-24_11-4'!Q35</f>
        <v/>
      </c>
      <c r="AC30" s="6">
        <f>'NiPA-62-F_UG_2__2026-03-24_11-5'!Q35</f>
        <v/>
      </c>
      <c r="AD30" s="6">
        <f>'NiPA-62-F_UG_3__2026-03-24_13-0'!Q35</f>
        <v/>
      </c>
      <c r="AE30" s="6">
        <f>'NiPA-62-F_UG_4__2026-03-24_13-1'!Q35</f>
        <v/>
      </c>
      <c r="AF30" s="6">
        <f>'NiPA-62-F_UG_5__2026-03-24_13-2'!Q35</f>
        <v/>
      </c>
      <c r="AG30" s="6">
        <f>'NiPA-62-F_UG_6__2026-03-24_13-2'!Q35</f>
        <v/>
      </c>
      <c r="AH30" s="6">
        <f>'NiPA-62-F_UG_7__2026-03-24_13-3'!Q35</f>
        <v/>
      </c>
      <c r="AI30" s="5">
        <f>№1!S35</f>
        <v/>
      </c>
      <c r="AJ30" s="5">
        <f>'NiPA-62-F_UG_1__2026-03-24_11-4'!S35</f>
        <v/>
      </c>
      <c r="AK30" s="5">
        <f>'NiPA-62-F_UG_2__2026-03-24_11-5'!S35</f>
        <v/>
      </c>
      <c r="AL30" s="5">
        <f>'NiPA-62-F_UG_3__2026-03-24_13-0'!S35</f>
        <v/>
      </c>
      <c r="AM30" s="5">
        <f>'NiPA-62-F_UG_4__2026-03-24_13-1'!S35</f>
        <v/>
      </c>
      <c r="AN30" s="5">
        <f>'NiPA-62-F_UG_5__2026-03-24_13-2'!S35</f>
        <v/>
      </c>
      <c r="AO30" s="5">
        <f>'NiPA-62-F_UG_6__2026-03-24_13-2'!S35</f>
        <v/>
      </c>
      <c r="AP30" s="5">
        <f>'NiPA-62-F_UG_7__2026-03-24_13-3'!S35</f>
        <v/>
      </c>
      <c r="AQ30" s="6">
        <f>№1!T35</f>
        <v/>
      </c>
      <c r="AR30" s="6">
        <f>'NiPA-62-F_UG_1__2026-03-24_11-4'!T35</f>
        <v/>
      </c>
      <c r="AS30" s="6">
        <f>'NiPA-62-F_UG_2__2026-03-24_11-5'!T35</f>
        <v/>
      </c>
      <c r="AT30" s="6">
        <f>'NiPA-62-F_UG_3__2026-03-24_13-0'!T35</f>
        <v/>
      </c>
      <c r="AU30" s="6">
        <f>'NiPA-62-F_UG_4__2026-03-24_13-1'!T35</f>
        <v/>
      </c>
      <c r="AV30" s="6">
        <f>'NiPA-62-F_UG_5__2026-03-24_13-2'!T35</f>
        <v/>
      </c>
      <c r="AW30" s="6">
        <f>'NiPA-62-F_UG_6__2026-03-24_13-2'!T35</f>
        <v/>
      </c>
      <c r="AX30" s="6">
        <f>'NiPA-62-F_UG_7__2026-03-24_13-3'!T35</f>
        <v/>
      </c>
    </row>
    <row r="31">
      <c r="A31" s="3">
        <f>'NiPA-62-F_UG_7__2026-03-24_13-3'!B36</f>
        <v/>
      </c>
      <c r="B31" s="4">
        <f>A31/1000000000</f>
        <v/>
      </c>
      <c r="C31" s="5">
        <f>№1!U36</f>
        <v/>
      </c>
      <c r="D31" s="5">
        <f>'NiPA-62-F_UG_1__2026-03-24_11-4'!U36</f>
        <v/>
      </c>
      <c r="E31" s="5">
        <f>'NiPA-62-F_UG_2__2026-03-24_11-5'!U36</f>
        <v/>
      </c>
      <c r="F31" s="5">
        <f>'NiPA-62-F_UG_3__2026-03-24_13-0'!U36</f>
        <v/>
      </c>
      <c r="G31" s="5">
        <f>'NiPA-62-F_UG_4__2026-03-24_13-1'!U36</f>
        <v/>
      </c>
      <c r="H31" s="5">
        <f>'NiPA-62-F_UG_5__2026-03-24_13-2'!U36</f>
        <v/>
      </c>
      <c r="I31" s="5">
        <f>'NiPA-62-F_UG_6__2026-03-24_13-2'!U36</f>
        <v/>
      </c>
      <c r="J31" s="5">
        <f>'NiPA-62-F_UG_7__2026-03-24_13-3'!U36</f>
        <v/>
      </c>
      <c r="K31" s="6">
        <f>№1!P36</f>
        <v/>
      </c>
      <c r="L31" s="6">
        <f>'NiPA-62-F_UG_1__2026-03-24_11-4'!P36</f>
        <v/>
      </c>
      <c r="M31" s="6">
        <f>'NiPA-62-F_UG_2__2026-03-24_11-5'!P36</f>
        <v/>
      </c>
      <c r="N31" s="6">
        <f>'NiPA-62-F_UG_3__2026-03-24_13-0'!P36</f>
        <v/>
      </c>
      <c r="O31" s="6">
        <f>'NiPA-62-F_UG_4__2026-03-24_13-1'!P36</f>
        <v/>
      </c>
      <c r="P31" s="6">
        <f>'NiPA-62-F_UG_5__2026-03-24_13-2'!P36</f>
        <v/>
      </c>
      <c r="Q31" s="6">
        <f>'NiPA-62-F_UG_6__2026-03-24_13-2'!P36</f>
        <v/>
      </c>
      <c r="R31" s="6">
        <f>'NiPA-62-F_UG_7__2026-03-24_13-3'!P36</f>
        <v/>
      </c>
      <c r="S31" s="5">
        <f>№1!R36</f>
        <v/>
      </c>
      <c r="T31" s="5">
        <f>'NiPA-62-F_UG_1__2026-03-24_11-4'!R36</f>
        <v/>
      </c>
      <c r="U31" s="5">
        <f>'NiPA-62-F_UG_2__2026-03-24_11-5'!R36</f>
        <v/>
      </c>
      <c r="V31" s="5">
        <f>'NiPA-62-F_UG_3__2026-03-24_13-0'!R36</f>
        <v/>
      </c>
      <c r="W31" s="5">
        <f>'NiPA-62-F_UG_4__2026-03-24_13-1'!R36</f>
        <v/>
      </c>
      <c r="X31" s="5">
        <f>'NiPA-62-F_UG_5__2026-03-24_13-2'!R36</f>
        <v/>
      </c>
      <c r="Y31" s="5">
        <f>'NiPA-62-F_UG_6__2026-03-24_13-2'!R36</f>
        <v/>
      </c>
      <c r="Z31" s="5">
        <f>'NiPA-62-F_UG_7__2026-03-24_13-3'!R36</f>
        <v/>
      </c>
      <c r="AA31" s="6">
        <f>№1!Q36</f>
        <v/>
      </c>
      <c r="AB31" s="6">
        <f>'NiPA-62-F_UG_1__2026-03-24_11-4'!Q36</f>
        <v/>
      </c>
      <c r="AC31" s="6">
        <f>'NiPA-62-F_UG_2__2026-03-24_11-5'!Q36</f>
        <v/>
      </c>
      <c r="AD31" s="6">
        <f>'NiPA-62-F_UG_3__2026-03-24_13-0'!Q36</f>
        <v/>
      </c>
      <c r="AE31" s="6">
        <f>'NiPA-62-F_UG_4__2026-03-24_13-1'!Q36</f>
        <v/>
      </c>
      <c r="AF31" s="6">
        <f>'NiPA-62-F_UG_5__2026-03-24_13-2'!Q36</f>
        <v/>
      </c>
      <c r="AG31" s="6">
        <f>'NiPA-62-F_UG_6__2026-03-24_13-2'!Q36</f>
        <v/>
      </c>
      <c r="AH31" s="6">
        <f>'NiPA-62-F_UG_7__2026-03-24_13-3'!Q36</f>
        <v/>
      </c>
      <c r="AI31" s="5">
        <f>№1!S36</f>
        <v/>
      </c>
      <c r="AJ31" s="5">
        <f>'NiPA-62-F_UG_1__2026-03-24_11-4'!S36</f>
        <v/>
      </c>
      <c r="AK31" s="5">
        <f>'NiPA-62-F_UG_2__2026-03-24_11-5'!S36</f>
        <v/>
      </c>
      <c r="AL31" s="5">
        <f>'NiPA-62-F_UG_3__2026-03-24_13-0'!S36</f>
        <v/>
      </c>
      <c r="AM31" s="5">
        <f>'NiPA-62-F_UG_4__2026-03-24_13-1'!S36</f>
        <v/>
      </c>
      <c r="AN31" s="5">
        <f>'NiPA-62-F_UG_5__2026-03-24_13-2'!S36</f>
        <v/>
      </c>
      <c r="AO31" s="5">
        <f>'NiPA-62-F_UG_6__2026-03-24_13-2'!S36</f>
        <v/>
      </c>
      <c r="AP31" s="5">
        <f>'NiPA-62-F_UG_7__2026-03-24_13-3'!S36</f>
        <v/>
      </c>
      <c r="AQ31" s="6">
        <f>№1!T36</f>
        <v/>
      </c>
      <c r="AR31" s="6">
        <f>'NiPA-62-F_UG_1__2026-03-24_11-4'!T36</f>
        <v/>
      </c>
      <c r="AS31" s="6">
        <f>'NiPA-62-F_UG_2__2026-03-24_11-5'!T36</f>
        <v/>
      </c>
      <c r="AT31" s="6">
        <f>'NiPA-62-F_UG_3__2026-03-24_13-0'!T36</f>
        <v/>
      </c>
      <c r="AU31" s="6">
        <f>'NiPA-62-F_UG_4__2026-03-24_13-1'!T36</f>
        <v/>
      </c>
      <c r="AV31" s="6">
        <f>'NiPA-62-F_UG_5__2026-03-24_13-2'!T36</f>
        <v/>
      </c>
      <c r="AW31" s="6">
        <f>'NiPA-62-F_UG_6__2026-03-24_13-2'!T36</f>
        <v/>
      </c>
      <c r="AX31" s="6">
        <f>'NiPA-62-F_UG_7__2026-03-24_13-3'!T36</f>
        <v/>
      </c>
    </row>
    <row r="32">
      <c r="A32" s="4">
        <f>'NiPA-62-F_UG_7__2026-03-24_13-3'!B37</f>
        <v/>
      </c>
      <c r="B32" s="4">
        <f>A32/1000000000</f>
        <v/>
      </c>
      <c r="C32" s="5">
        <f>№1!U37</f>
        <v/>
      </c>
      <c r="D32" s="5">
        <f>'NiPA-62-F_UG_1__2026-03-24_11-4'!U37</f>
        <v/>
      </c>
      <c r="E32" s="5">
        <f>'NiPA-62-F_UG_2__2026-03-24_11-5'!U37</f>
        <v/>
      </c>
      <c r="F32" s="5">
        <f>'NiPA-62-F_UG_3__2026-03-24_13-0'!U37</f>
        <v/>
      </c>
      <c r="G32" s="5">
        <f>'NiPA-62-F_UG_4__2026-03-24_13-1'!U37</f>
        <v/>
      </c>
      <c r="H32" s="5">
        <f>'NiPA-62-F_UG_5__2026-03-24_13-2'!U37</f>
        <v/>
      </c>
      <c r="I32" s="5">
        <f>'NiPA-62-F_UG_6__2026-03-24_13-2'!U37</f>
        <v/>
      </c>
      <c r="J32" s="5">
        <f>'NiPA-62-F_UG_7__2026-03-24_13-3'!U37</f>
        <v/>
      </c>
      <c r="K32" s="6">
        <f>№1!P37</f>
        <v/>
      </c>
      <c r="L32" s="6">
        <f>'NiPA-62-F_UG_1__2026-03-24_11-4'!P37</f>
        <v/>
      </c>
      <c r="M32" s="6">
        <f>'NiPA-62-F_UG_2__2026-03-24_11-5'!P37</f>
        <v/>
      </c>
      <c r="N32" s="6">
        <f>'NiPA-62-F_UG_3__2026-03-24_13-0'!P37</f>
        <v/>
      </c>
      <c r="O32" s="6">
        <f>'NiPA-62-F_UG_4__2026-03-24_13-1'!P37</f>
        <v/>
      </c>
      <c r="P32" s="6">
        <f>'NiPA-62-F_UG_5__2026-03-24_13-2'!P37</f>
        <v/>
      </c>
      <c r="Q32" s="6">
        <f>'NiPA-62-F_UG_6__2026-03-24_13-2'!P37</f>
        <v/>
      </c>
      <c r="R32" s="6">
        <f>'NiPA-62-F_UG_7__2026-03-24_13-3'!P37</f>
        <v/>
      </c>
      <c r="S32" s="5">
        <f>№1!R37</f>
        <v/>
      </c>
      <c r="T32" s="5">
        <f>'NiPA-62-F_UG_1__2026-03-24_11-4'!R37</f>
        <v/>
      </c>
      <c r="U32" s="5">
        <f>'NiPA-62-F_UG_2__2026-03-24_11-5'!R37</f>
        <v/>
      </c>
      <c r="V32" s="5">
        <f>'NiPA-62-F_UG_3__2026-03-24_13-0'!R37</f>
        <v/>
      </c>
      <c r="W32" s="5">
        <f>'NiPA-62-F_UG_4__2026-03-24_13-1'!R37</f>
        <v/>
      </c>
      <c r="X32" s="5">
        <f>'NiPA-62-F_UG_5__2026-03-24_13-2'!R37</f>
        <v/>
      </c>
      <c r="Y32" s="5">
        <f>'NiPA-62-F_UG_6__2026-03-24_13-2'!R37</f>
        <v/>
      </c>
      <c r="Z32" s="5">
        <f>'NiPA-62-F_UG_7__2026-03-24_13-3'!R37</f>
        <v/>
      </c>
      <c r="AA32" s="6">
        <f>№1!Q37</f>
        <v/>
      </c>
      <c r="AB32" s="6">
        <f>'NiPA-62-F_UG_1__2026-03-24_11-4'!Q37</f>
        <v/>
      </c>
      <c r="AC32" s="6">
        <f>'NiPA-62-F_UG_2__2026-03-24_11-5'!Q37</f>
        <v/>
      </c>
      <c r="AD32" s="6">
        <f>'NiPA-62-F_UG_3__2026-03-24_13-0'!Q37</f>
        <v/>
      </c>
      <c r="AE32" s="6">
        <f>'NiPA-62-F_UG_4__2026-03-24_13-1'!Q37</f>
        <v/>
      </c>
      <c r="AF32" s="6">
        <f>'NiPA-62-F_UG_5__2026-03-24_13-2'!Q37</f>
        <v/>
      </c>
      <c r="AG32" s="6">
        <f>'NiPA-62-F_UG_6__2026-03-24_13-2'!Q37</f>
        <v/>
      </c>
      <c r="AH32" s="6">
        <f>'NiPA-62-F_UG_7__2026-03-24_13-3'!Q37</f>
        <v/>
      </c>
      <c r="AI32" s="5">
        <f>№1!S37</f>
        <v/>
      </c>
      <c r="AJ32" s="5">
        <f>'NiPA-62-F_UG_1__2026-03-24_11-4'!S37</f>
        <v/>
      </c>
      <c r="AK32" s="5">
        <f>'NiPA-62-F_UG_2__2026-03-24_11-5'!S37</f>
        <v/>
      </c>
      <c r="AL32" s="5">
        <f>'NiPA-62-F_UG_3__2026-03-24_13-0'!S37</f>
        <v/>
      </c>
      <c r="AM32" s="5">
        <f>'NiPA-62-F_UG_4__2026-03-24_13-1'!S37</f>
        <v/>
      </c>
      <c r="AN32" s="5">
        <f>'NiPA-62-F_UG_5__2026-03-24_13-2'!S37</f>
        <v/>
      </c>
      <c r="AO32" s="5">
        <f>'NiPA-62-F_UG_6__2026-03-24_13-2'!S37</f>
        <v/>
      </c>
      <c r="AP32" s="5">
        <f>'NiPA-62-F_UG_7__2026-03-24_13-3'!S37</f>
        <v/>
      </c>
      <c r="AQ32" s="6">
        <f>№1!T37</f>
        <v/>
      </c>
      <c r="AR32" s="6">
        <f>'NiPA-62-F_UG_1__2026-03-24_11-4'!T37</f>
        <v/>
      </c>
      <c r="AS32" s="6">
        <f>'NiPA-62-F_UG_2__2026-03-24_11-5'!T37</f>
        <v/>
      </c>
      <c r="AT32" s="6">
        <f>'NiPA-62-F_UG_3__2026-03-24_13-0'!T37</f>
        <v/>
      </c>
      <c r="AU32" s="6">
        <f>'NiPA-62-F_UG_4__2026-03-24_13-1'!T37</f>
        <v/>
      </c>
      <c r="AV32" s="6">
        <f>'NiPA-62-F_UG_5__2026-03-24_13-2'!T37</f>
        <v/>
      </c>
      <c r="AW32" s="6">
        <f>'NiPA-62-F_UG_6__2026-03-24_13-2'!T37</f>
        <v/>
      </c>
      <c r="AX32" s="6">
        <f>'NiPA-62-F_UG_7__2026-03-24_13-3'!T37</f>
        <v/>
      </c>
    </row>
    <row r="33">
      <c r="A33" s="3">
        <f>'NiPA-62-F_UG_7__2026-03-24_13-3'!B38</f>
        <v/>
      </c>
      <c r="B33" s="4">
        <f>A33/1000000000</f>
        <v/>
      </c>
      <c r="C33" s="5">
        <f>№1!U38</f>
        <v/>
      </c>
      <c r="D33" s="5">
        <f>'NiPA-62-F_UG_1__2026-03-24_11-4'!U38</f>
        <v/>
      </c>
      <c r="E33" s="5">
        <f>'NiPA-62-F_UG_2__2026-03-24_11-5'!U38</f>
        <v/>
      </c>
      <c r="F33" s="5">
        <f>'NiPA-62-F_UG_3__2026-03-24_13-0'!U38</f>
        <v/>
      </c>
      <c r="G33" s="5">
        <f>'NiPA-62-F_UG_4__2026-03-24_13-1'!U38</f>
        <v/>
      </c>
      <c r="H33" s="5">
        <f>'NiPA-62-F_UG_5__2026-03-24_13-2'!U38</f>
        <v/>
      </c>
      <c r="I33" s="5">
        <f>'NiPA-62-F_UG_6__2026-03-24_13-2'!U38</f>
        <v/>
      </c>
      <c r="J33" s="5">
        <f>'NiPA-62-F_UG_7__2026-03-24_13-3'!U38</f>
        <v/>
      </c>
      <c r="K33" s="6">
        <f>№1!P38</f>
        <v/>
      </c>
      <c r="L33" s="6">
        <f>'NiPA-62-F_UG_1__2026-03-24_11-4'!P38</f>
        <v/>
      </c>
      <c r="M33" s="6">
        <f>'NiPA-62-F_UG_2__2026-03-24_11-5'!P38</f>
        <v/>
      </c>
      <c r="N33" s="6">
        <f>'NiPA-62-F_UG_3__2026-03-24_13-0'!P38</f>
        <v/>
      </c>
      <c r="O33" s="6">
        <f>'NiPA-62-F_UG_4__2026-03-24_13-1'!P38</f>
        <v/>
      </c>
      <c r="P33" s="6">
        <f>'NiPA-62-F_UG_5__2026-03-24_13-2'!P38</f>
        <v/>
      </c>
      <c r="Q33" s="6">
        <f>'NiPA-62-F_UG_6__2026-03-24_13-2'!P38</f>
        <v/>
      </c>
      <c r="R33" s="6">
        <f>'NiPA-62-F_UG_7__2026-03-24_13-3'!P38</f>
        <v/>
      </c>
      <c r="S33" s="5">
        <f>№1!R38</f>
        <v/>
      </c>
      <c r="T33" s="5">
        <f>'NiPA-62-F_UG_1__2026-03-24_11-4'!R38</f>
        <v/>
      </c>
      <c r="U33" s="5">
        <f>'NiPA-62-F_UG_2__2026-03-24_11-5'!R38</f>
        <v/>
      </c>
      <c r="V33" s="5">
        <f>'NiPA-62-F_UG_3__2026-03-24_13-0'!R38</f>
        <v/>
      </c>
      <c r="W33" s="5">
        <f>'NiPA-62-F_UG_4__2026-03-24_13-1'!R38</f>
        <v/>
      </c>
      <c r="X33" s="5">
        <f>'NiPA-62-F_UG_5__2026-03-24_13-2'!R38</f>
        <v/>
      </c>
      <c r="Y33" s="5">
        <f>'NiPA-62-F_UG_6__2026-03-24_13-2'!R38</f>
        <v/>
      </c>
      <c r="Z33" s="5">
        <f>'NiPA-62-F_UG_7__2026-03-24_13-3'!R38</f>
        <v/>
      </c>
      <c r="AA33" s="6">
        <f>№1!Q38</f>
        <v/>
      </c>
      <c r="AB33" s="6">
        <f>'NiPA-62-F_UG_1__2026-03-24_11-4'!Q38</f>
        <v/>
      </c>
      <c r="AC33" s="6">
        <f>'NiPA-62-F_UG_2__2026-03-24_11-5'!Q38</f>
        <v/>
      </c>
      <c r="AD33" s="6">
        <f>'NiPA-62-F_UG_3__2026-03-24_13-0'!Q38</f>
        <v/>
      </c>
      <c r="AE33" s="6">
        <f>'NiPA-62-F_UG_4__2026-03-24_13-1'!Q38</f>
        <v/>
      </c>
      <c r="AF33" s="6">
        <f>'NiPA-62-F_UG_5__2026-03-24_13-2'!Q38</f>
        <v/>
      </c>
      <c r="AG33" s="6">
        <f>'NiPA-62-F_UG_6__2026-03-24_13-2'!Q38</f>
        <v/>
      </c>
      <c r="AH33" s="6">
        <f>'NiPA-62-F_UG_7__2026-03-24_13-3'!Q38</f>
        <v/>
      </c>
      <c r="AI33" s="5">
        <f>№1!S38</f>
        <v/>
      </c>
      <c r="AJ33" s="5">
        <f>'NiPA-62-F_UG_1__2026-03-24_11-4'!S38</f>
        <v/>
      </c>
      <c r="AK33" s="5">
        <f>'NiPA-62-F_UG_2__2026-03-24_11-5'!S38</f>
        <v/>
      </c>
      <c r="AL33" s="5">
        <f>'NiPA-62-F_UG_3__2026-03-24_13-0'!S38</f>
        <v/>
      </c>
      <c r="AM33" s="5">
        <f>'NiPA-62-F_UG_4__2026-03-24_13-1'!S38</f>
        <v/>
      </c>
      <c r="AN33" s="5">
        <f>'NiPA-62-F_UG_5__2026-03-24_13-2'!S38</f>
        <v/>
      </c>
      <c r="AO33" s="5">
        <f>'NiPA-62-F_UG_6__2026-03-24_13-2'!S38</f>
        <v/>
      </c>
      <c r="AP33" s="5">
        <f>'NiPA-62-F_UG_7__2026-03-24_13-3'!S38</f>
        <v/>
      </c>
      <c r="AQ33" s="6">
        <f>№1!T38</f>
        <v/>
      </c>
      <c r="AR33" s="6">
        <f>'NiPA-62-F_UG_1__2026-03-24_11-4'!T38</f>
        <v/>
      </c>
      <c r="AS33" s="6">
        <f>'NiPA-62-F_UG_2__2026-03-24_11-5'!T38</f>
        <v/>
      </c>
      <c r="AT33" s="6">
        <f>'NiPA-62-F_UG_3__2026-03-24_13-0'!T38</f>
        <v/>
      </c>
      <c r="AU33" s="6">
        <f>'NiPA-62-F_UG_4__2026-03-24_13-1'!T38</f>
        <v/>
      </c>
      <c r="AV33" s="6">
        <f>'NiPA-62-F_UG_5__2026-03-24_13-2'!T38</f>
        <v/>
      </c>
      <c r="AW33" s="6">
        <f>'NiPA-62-F_UG_6__2026-03-24_13-2'!T38</f>
        <v/>
      </c>
      <c r="AX33" s="6">
        <f>'NiPA-62-F_UG_7__2026-03-24_13-3'!T38</f>
        <v/>
      </c>
    </row>
    <row r="34">
      <c r="A34" s="4">
        <f>'NiPA-62-F_UG_7__2026-03-24_13-3'!B39</f>
        <v/>
      </c>
      <c r="B34" s="4">
        <f>A34/1000000000</f>
        <v/>
      </c>
      <c r="C34" s="5">
        <f>№1!U39</f>
        <v/>
      </c>
      <c r="D34" s="5">
        <f>'NiPA-62-F_UG_1__2026-03-24_11-4'!U39</f>
        <v/>
      </c>
      <c r="E34" s="5">
        <f>'NiPA-62-F_UG_2__2026-03-24_11-5'!U39</f>
        <v/>
      </c>
      <c r="F34" s="5">
        <f>'NiPA-62-F_UG_3__2026-03-24_13-0'!U39</f>
        <v/>
      </c>
      <c r="G34" s="5">
        <f>'NiPA-62-F_UG_4__2026-03-24_13-1'!U39</f>
        <v/>
      </c>
      <c r="H34" s="5">
        <f>'NiPA-62-F_UG_5__2026-03-24_13-2'!U39</f>
        <v/>
      </c>
      <c r="I34" s="5">
        <f>'NiPA-62-F_UG_6__2026-03-24_13-2'!U39</f>
        <v/>
      </c>
      <c r="J34" s="5">
        <f>'NiPA-62-F_UG_7__2026-03-24_13-3'!U39</f>
        <v/>
      </c>
      <c r="K34" s="6">
        <f>№1!P39</f>
        <v/>
      </c>
      <c r="L34" s="6">
        <f>'NiPA-62-F_UG_1__2026-03-24_11-4'!P39</f>
        <v/>
      </c>
      <c r="M34" s="6">
        <f>'NiPA-62-F_UG_2__2026-03-24_11-5'!P39</f>
        <v/>
      </c>
      <c r="N34" s="6">
        <f>'NiPA-62-F_UG_3__2026-03-24_13-0'!P39</f>
        <v/>
      </c>
      <c r="O34" s="6">
        <f>'NiPA-62-F_UG_4__2026-03-24_13-1'!P39</f>
        <v/>
      </c>
      <c r="P34" s="6">
        <f>'NiPA-62-F_UG_5__2026-03-24_13-2'!P39</f>
        <v/>
      </c>
      <c r="Q34" s="6">
        <f>'NiPA-62-F_UG_6__2026-03-24_13-2'!P39</f>
        <v/>
      </c>
      <c r="R34" s="6">
        <f>'NiPA-62-F_UG_7__2026-03-24_13-3'!P39</f>
        <v/>
      </c>
      <c r="S34" s="5">
        <f>№1!R39</f>
        <v/>
      </c>
      <c r="T34" s="5">
        <f>'NiPA-62-F_UG_1__2026-03-24_11-4'!R39</f>
        <v/>
      </c>
      <c r="U34" s="5">
        <f>'NiPA-62-F_UG_2__2026-03-24_11-5'!R39</f>
        <v/>
      </c>
      <c r="V34" s="5">
        <f>'NiPA-62-F_UG_3__2026-03-24_13-0'!R39</f>
        <v/>
      </c>
      <c r="W34" s="5">
        <f>'NiPA-62-F_UG_4__2026-03-24_13-1'!R39</f>
        <v/>
      </c>
      <c r="X34" s="5">
        <f>'NiPA-62-F_UG_5__2026-03-24_13-2'!R39</f>
        <v/>
      </c>
      <c r="Y34" s="5">
        <f>'NiPA-62-F_UG_6__2026-03-24_13-2'!R39</f>
        <v/>
      </c>
      <c r="Z34" s="5">
        <f>'NiPA-62-F_UG_7__2026-03-24_13-3'!R39</f>
        <v/>
      </c>
      <c r="AA34" s="6">
        <f>№1!Q39</f>
        <v/>
      </c>
      <c r="AB34" s="6">
        <f>'NiPA-62-F_UG_1__2026-03-24_11-4'!Q39</f>
        <v/>
      </c>
      <c r="AC34" s="6">
        <f>'NiPA-62-F_UG_2__2026-03-24_11-5'!Q39</f>
        <v/>
      </c>
      <c r="AD34" s="6">
        <f>'NiPA-62-F_UG_3__2026-03-24_13-0'!Q39</f>
        <v/>
      </c>
      <c r="AE34" s="6">
        <f>'NiPA-62-F_UG_4__2026-03-24_13-1'!Q39</f>
        <v/>
      </c>
      <c r="AF34" s="6">
        <f>'NiPA-62-F_UG_5__2026-03-24_13-2'!Q39</f>
        <v/>
      </c>
      <c r="AG34" s="6">
        <f>'NiPA-62-F_UG_6__2026-03-24_13-2'!Q39</f>
        <v/>
      </c>
      <c r="AH34" s="6">
        <f>'NiPA-62-F_UG_7__2026-03-24_13-3'!Q39</f>
        <v/>
      </c>
      <c r="AI34" s="5">
        <f>№1!S39</f>
        <v/>
      </c>
      <c r="AJ34" s="5">
        <f>'NiPA-62-F_UG_1__2026-03-24_11-4'!S39</f>
        <v/>
      </c>
      <c r="AK34" s="5">
        <f>'NiPA-62-F_UG_2__2026-03-24_11-5'!S39</f>
        <v/>
      </c>
      <c r="AL34" s="5">
        <f>'NiPA-62-F_UG_3__2026-03-24_13-0'!S39</f>
        <v/>
      </c>
      <c r="AM34" s="5">
        <f>'NiPA-62-F_UG_4__2026-03-24_13-1'!S39</f>
        <v/>
      </c>
      <c r="AN34" s="5">
        <f>'NiPA-62-F_UG_5__2026-03-24_13-2'!S39</f>
        <v/>
      </c>
      <c r="AO34" s="5">
        <f>'NiPA-62-F_UG_6__2026-03-24_13-2'!S39</f>
        <v/>
      </c>
      <c r="AP34" s="5">
        <f>'NiPA-62-F_UG_7__2026-03-24_13-3'!S39</f>
        <v/>
      </c>
      <c r="AQ34" s="6">
        <f>№1!T39</f>
        <v/>
      </c>
      <c r="AR34" s="6">
        <f>'NiPA-62-F_UG_1__2026-03-24_11-4'!T39</f>
        <v/>
      </c>
      <c r="AS34" s="6">
        <f>'NiPA-62-F_UG_2__2026-03-24_11-5'!T39</f>
        <v/>
      </c>
      <c r="AT34" s="6">
        <f>'NiPA-62-F_UG_3__2026-03-24_13-0'!T39</f>
        <v/>
      </c>
      <c r="AU34" s="6">
        <f>'NiPA-62-F_UG_4__2026-03-24_13-1'!T39</f>
        <v/>
      </c>
      <c r="AV34" s="6">
        <f>'NiPA-62-F_UG_5__2026-03-24_13-2'!T39</f>
        <v/>
      </c>
      <c r="AW34" s="6">
        <f>'NiPA-62-F_UG_6__2026-03-24_13-2'!T39</f>
        <v/>
      </c>
      <c r="AX34" s="6">
        <f>'NiPA-62-F_UG_7__2026-03-24_13-3'!T39</f>
        <v/>
      </c>
    </row>
    <row r="35">
      <c r="A35" s="3">
        <f>'NiPA-62-F_UG_7__2026-03-24_13-3'!B40</f>
        <v/>
      </c>
      <c r="B35" s="4">
        <f>A35/1000000000</f>
        <v/>
      </c>
      <c r="C35" s="5">
        <f>№1!U40</f>
        <v/>
      </c>
      <c r="D35" s="5">
        <f>'NiPA-62-F_UG_1__2026-03-24_11-4'!U40</f>
        <v/>
      </c>
      <c r="E35" s="5">
        <f>'NiPA-62-F_UG_2__2026-03-24_11-5'!U40</f>
        <v/>
      </c>
      <c r="F35" s="5">
        <f>'NiPA-62-F_UG_3__2026-03-24_13-0'!U40</f>
        <v/>
      </c>
      <c r="G35" s="5">
        <f>'NiPA-62-F_UG_4__2026-03-24_13-1'!U40</f>
        <v/>
      </c>
      <c r="H35" s="5">
        <f>'NiPA-62-F_UG_5__2026-03-24_13-2'!U40</f>
        <v/>
      </c>
      <c r="I35" s="5">
        <f>'NiPA-62-F_UG_6__2026-03-24_13-2'!U40</f>
        <v/>
      </c>
      <c r="J35" s="5">
        <f>'NiPA-62-F_UG_7__2026-03-24_13-3'!U40</f>
        <v/>
      </c>
      <c r="K35" s="6">
        <f>№1!P40</f>
        <v/>
      </c>
      <c r="L35" s="6">
        <f>'NiPA-62-F_UG_1__2026-03-24_11-4'!P40</f>
        <v/>
      </c>
      <c r="M35" s="6">
        <f>'NiPA-62-F_UG_2__2026-03-24_11-5'!P40</f>
        <v/>
      </c>
      <c r="N35" s="6">
        <f>'NiPA-62-F_UG_3__2026-03-24_13-0'!P40</f>
        <v/>
      </c>
      <c r="O35" s="6">
        <f>'NiPA-62-F_UG_4__2026-03-24_13-1'!P40</f>
        <v/>
      </c>
      <c r="P35" s="6">
        <f>'NiPA-62-F_UG_5__2026-03-24_13-2'!P40</f>
        <v/>
      </c>
      <c r="Q35" s="6">
        <f>'NiPA-62-F_UG_6__2026-03-24_13-2'!P40</f>
        <v/>
      </c>
      <c r="R35" s="6">
        <f>'NiPA-62-F_UG_7__2026-03-24_13-3'!P40</f>
        <v/>
      </c>
      <c r="S35" s="5">
        <f>№1!R40</f>
        <v/>
      </c>
      <c r="T35" s="5">
        <f>'NiPA-62-F_UG_1__2026-03-24_11-4'!R40</f>
        <v/>
      </c>
      <c r="U35" s="5">
        <f>'NiPA-62-F_UG_2__2026-03-24_11-5'!R40</f>
        <v/>
      </c>
      <c r="V35" s="5">
        <f>'NiPA-62-F_UG_3__2026-03-24_13-0'!R40</f>
        <v/>
      </c>
      <c r="W35" s="5">
        <f>'NiPA-62-F_UG_4__2026-03-24_13-1'!R40</f>
        <v/>
      </c>
      <c r="X35" s="5">
        <f>'NiPA-62-F_UG_5__2026-03-24_13-2'!R40</f>
        <v/>
      </c>
      <c r="Y35" s="5">
        <f>'NiPA-62-F_UG_6__2026-03-24_13-2'!R40</f>
        <v/>
      </c>
      <c r="Z35" s="5">
        <f>'NiPA-62-F_UG_7__2026-03-24_13-3'!R40</f>
        <v/>
      </c>
      <c r="AA35" s="6">
        <f>№1!Q40</f>
        <v/>
      </c>
      <c r="AB35" s="6">
        <f>'NiPA-62-F_UG_1__2026-03-24_11-4'!Q40</f>
        <v/>
      </c>
      <c r="AC35" s="6">
        <f>'NiPA-62-F_UG_2__2026-03-24_11-5'!Q40</f>
        <v/>
      </c>
      <c r="AD35" s="6">
        <f>'NiPA-62-F_UG_3__2026-03-24_13-0'!Q40</f>
        <v/>
      </c>
      <c r="AE35" s="6">
        <f>'NiPA-62-F_UG_4__2026-03-24_13-1'!Q40</f>
        <v/>
      </c>
      <c r="AF35" s="6">
        <f>'NiPA-62-F_UG_5__2026-03-24_13-2'!Q40</f>
        <v/>
      </c>
      <c r="AG35" s="6">
        <f>'NiPA-62-F_UG_6__2026-03-24_13-2'!Q40</f>
        <v/>
      </c>
      <c r="AH35" s="6">
        <f>'NiPA-62-F_UG_7__2026-03-24_13-3'!Q40</f>
        <v/>
      </c>
      <c r="AI35" s="5">
        <f>№1!S40</f>
        <v/>
      </c>
      <c r="AJ35" s="5">
        <f>'NiPA-62-F_UG_1__2026-03-24_11-4'!S40</f>
        <v/>
      </c>
      <c r="AK35" s="5">
        <f>'NiPA-62-F_UG_2__2026-03-24_11-5'!S40</f>
        <v/>
      </c>
      <c r="AL35" s="5">
        <f>'NiPA-62-F_UG_3__2026-03-24_13-0'!S40</f>
        <v/>
      </c>
      <c r="AM35" s="5">
        <f>'NiPA-62-F_UG_4__2026-03-24_13-1'!S40</f>
        <v/>
      </c>
      <c r="AN35" s="5">
        <f>'NiPA-62-F_UG_5__2026-03-24_13-2'!S40</f>
        <v/>
      </c>
      <c r="AO35" s="5">
        <f>'NiPA-62-F_UG_6__2026-03-24_13-2'!S40</f>
        <v/>
      </c>
      <c r="AP35" s="5">
        <f>'NiPA-62-F_UG_7__2026-03-24_13-3'!S40</f>
        <v/>
      </c>
      <c r="AQ35" s="6">
        <f>№1!T40</f>
        <v/>
      </c>
      <c r="AR35" s="6">
        <f>'NiPA-62-F_UG_1__2026-03-24_11-4'!T40</f>
        <v/>
      </c>
      <c r="AS35" s="6">
        <f>'NiPA-62-F_UG_2__2026-03-24_11-5'!T40</f>
        <v/>
      </c>
      <c r="AT35" s="6">
        <f>'NiPA-62-F_UG_3__2026-03-24_13-0'!T40</f>
        <v/>
      </c>
      <c r="AU35" s="6">
        <f>'NiPA-62-F_UG_4__2026-03-24_13-1'!T40</f>
        <v/>
      </c>
      <c r="AV35" s="6">
        <f>'NiPA-62-F_UG_5__2026-03-24_13-2'!T40</f>
        <v/>
      </c>
      <c r="AW35" s="6">
        <f>'NiPA-62-F_UG_6__2026-03-24_13-2'!T40</f>
        <v/>
      </c>
      <c r="AX35" s="6">
        <f>'NiPA-62-F_UG_7__2026-03-24_13-3'!T40</f>
        <v/>
      </c>
    </row>
    <row r="36">
      <c r="A36" s="4">
        <f>'NiPA-62-F_UG_7__2026-03-24_13-3'!B41</f>
        <v/>
      </c>
      <c r="B36" s="4">
        <f>A36/1000000000</f>
        <v/>
      </c>
      <c r="C36" s="5">
        <f>№1!U41</f>
        <v/>
      </c>
      <c r="D36" s="5">
        <f>'NiPA-62-F_UG_1__2026-03-24_11-4'!U41</f>
        <v/>
      </c>
      <c r="E36" s="5">
        <f>'NiPA-62-F_UG_2__2026-03-24_11-5'!U41</f>
        <v/>
      </c>
      <c r="F36" s="5">
        <f>'NiPA-62-F_UG_3__2026-03-24_13-0'!U41</f>
        <v/>
      </c>
      <c r="G36" s="5">
        <f>'NiPA-62-F_UG_4__2026-03-24_13-1'!U41</f>
        <v/>
      </c>
      <c r="H36" s="5">
        <f>'NiPA-62-F_UG_5__2026-03-24_13-2'!U41</f>
        <v/>
      </c>
      <c r="I36" s="5">
        <f>'NiPA-62-F_UG_6__2026-03-24_13-2'!U41</f>
        <v/>
      </c>
      <c r="J36" s="5">
        <f>'NiPA-62-F_UG_7__2026-03-24_13-3'!U41</f>
        <v/>
      </c>
      <c r="K36" s="6">
        <f>№1!P41</f>
        <v/>
      </c>
      <c r="L36" s="6">
        <f>'NiPA-62-F_UG_1__2026-03-24_11-4'!P41</f>
        <v/>
      </c>
      <c r="M36" s="6">
        <f>'NiPA-62-F_UG_2__2026-03-24_11-5'!P41</f>
        <v/>
      </c>
      <c r="N36" s="6">
        <f>'NiPA-62-F_UG_3__2026-03-24_13-0'!P41</f>
        <v/>
      </c>
      <c r="O36" s="6">
        <f>'NiPA-62-F_UG_4__2026-03-24_13-1'!P41</f>
        <v/>
      </c>
      <c r="P36" s="6">
        <f>'NiPA-62-F_UG_5__2026-03-24_13-2'!P41</f>
        <v/>
      </c>
      <c r="Q36" s="6">
        <f>'NiPA-62-F_UG_6__2026-03-24_13-2'!P41</f>
        <v/>
      </c>
      <c r="R36" s="6">
        <f>'NiPA-62-F_UG_7__2026-03-24_13-3'!P41</f>
        <v/>
      </c>
      <c r="S36" s="5">
        <f>№1!R41</f>
        <v/>
      </c>
      <c r="T36" s="5">
        <f>'NiPA-62-F_UG_1__2026-03-24_11-4'!R41</f>
        <v/>
      </c>
      <c r="U36" s="5">
        <f>'NiPA-62-F_UG_2__2026-03-24_11-5'!R41</f>
        <v/>
      </c>
      <c r="V36" s="5">
        <f>'NiPA-62-F_UG_3__2026-03-24_13-0'!R41</f>
        <v/>
      </c>
      <c r="W36" s="5">
        <f>'NiPA-62-F_UG_4__2026-03-24_13-1'!R41</f>
        <v/>
      </c>
      <c r="X36" s="5">
        <f>'NiPA-62-F_UG_5__2026-03-24_13-2'!R41</f>
        <v/>
      </c>
      <c r="Y36" s="5">
        <f>'NiPA-62-F_UG_6__2026-03-24_13-2'!R41</f>
        <v/>
      </c>
      <c r="Z36" s="5">
        <f>'NiPA-62-F_UG_7__2026-03-24_13-3'!R41</f>
        <v/>
      </c>
      <c r="AA36" s="6">
        <f>№1!Q41</f>
        <v/>
      </c>
      <c r="AB36" s="6">
        <f>'NiPA-62-F_UG_1__2026-03-24_11-4'!Q41</f>
        <v/>
      </c>
      <c r="AC36" s="6">
        <f>'NiPA-62-F_UG_2__2026-03-24_11-5'!Q41</f>
        <v/>
      </c>
      <c r="AD36" s="6">
        <f>'NiPA-62-F_UG_3__2026-03-24_13-0'!Q41</f>
        <v/>
      </c>
      <c r="AE36" s="6">
        <f>'NiPA-62-F_UG_4__2026-03-24_13-1'!Q41</f>
        <v/>
      </c>
      <c r="AF36" s="6">
        <f>'NiPA-62-F_UG_5__2026-03-24_13-2'!Q41</f>
        <v/>
      </c>
      <c r="AG36" s="6">
        <f>'NiPA-62-F_UG_6__2026-03-24_13-2'!Q41</f>
        <v/>
      </c>
      <c r="AH36" s="6">
        <f>'NiPA-62-F_UG_7__2026-03-24_13-3'!Q41</f>
        <v/>
      </c>
      <c r="AI36" s="5">
        <f>№1!S41</f>
        <v/>
      </c>
      <c r="AJ36" s="5">
        <f>'NiPA-62-F_UG_1__2026-03-24_11-4'!S41</f>
        <v/>
      </c>
      <c r="AK36" s="5">
        <f>'NiPA-62-F_UG_2__2026-03-24_11-5'!S41</f>
        <v/>
      </c>
      <c r="AL36" s="5">
        <f>'NiPA-62-F_UG_3__2026-03-24_13-0'!S41</f>
        <v/>
      </c>
      <c r="AM36" s="5">
        <f>'NiPA-62-F_UG_4__2026-03-24_13-1'!S41</f>
        <v/>
      </c>
      <c r="AN36" s="5">
        <f>'NiPA-62-F_UG_5__2026-03-24_13-2'!S41</f>
        <v/>
      </c>
      <c r="AO36" s="5">
        <f>'NiPA-62-F_UG_6__2026-03-24_13-2'!S41</f>
        <v/>
      </c>
      <c r="AP36" s="5">
        <f>'NiPA-62-F_UG_7__2026-03-24_13-3'!S41</f>
        <v/>
      </c>
      <c r="AQ36" s="6">
        <f>№1!T41</f>
        <v/>
      </c>
      <c r="AR36" s="6">
        <f>'NiPA-62-F_UG_1__2026-03-24_11-4'!T41</f>
        <v/>
      </c>
      <c r="AS36" s="6">
        <f>'NiPA-62-F_UG_2__2026-03-24_11-5'!T41</f>
        <v/>
      </c>
      <c r="AT36" s="6">
        <f>'NiPA-62-F_UG_3__2026-03-24_13-0'!T41</f>
        <v/>
      </c>
      <c r="AU36" s="6">
        <f>'NiPA-62-F_UG_4__2026-03-24_13-1'!T41</f>
        <v/>
      </c>
      <c r="AV36" s="6">
        <f>'NiPA-62-F_UG_5__2026-03-24_13-2'!T41</f>
        <v/>
      </c>
      <c r="AW36" s="6">
        <f>'NiPA-62-F_UG_6__2026-03-24_13-2'!T41</f>
        <v/>
      </c>
      <c r="AX36" s="6">
        <f>'NiPA-62-F_UG_7__2026-03-24_13-3'!T41</f>
        <v/>
      </c>
    </row>
    <row r="37">
      <c r="A37" s="3">
        <f>'NiPA-62-F_UG_7__2026-03-24_13-3'!B42</f>
        <v/>
      </c>
      <c r="B37" s="4">
        <f>A37/1000000000</f>
        <v/>
      </c>
      <c r="C37" s="5">
        <f>№1!U42</f>
        <v/>
      </c>
      <c r="D37" s="5">
        <f>'NiPA-62-F_UG_1__2026-03-24_11-4'!U42</f>
        <v/>
      </c>
      <c r="E37" s="5">
        <f>'NiPA-62-F_UG_2__2026-03-24_11-5'!U42</f>
        <v/>
      </c>
      <c r="F37" s="5">
        <f>'NiPA-62-F_UG_3__2026-03-24_13-0'!U42</f>
        <v/>
      </c>
      <c r="G37" s="5">
        <f>'NiPA-62-F_UG_4__2026-03-24_13-1'!U42</f>
        <v/>
      </c>
      <c r="H37" s="5">
        <f>'NiPA-62-F_UG_5__2026-03-24_13-2'!U42</f>
        <v/>
      </c>
      <c r="I37" s="5">
        <f>'NiPA-62-F_UG_6__2026-03-24_13-2'!U42</f>
        <v/>
      </c>
      <c r="J37" s="5">
        <f>'NiPA-62-F_UG_7__2026-03-24_13-3'!U42</f>
        <v/>
      </c>
      <c r="K37" s="6">
        <f>№1!P42</f>
        <v/>
      </c>
      <c r="L37" s="6">
        <f>'NiPA-62-F_UG_1__2026-03-24_11-4'!P42</f>
        <v/>
      </c>
      <c r="M37" s="6">
        <f>'NiPA-62-F_UG_2__2026-03-24_11-5'!P42</f>
        <v/>
      </c>
      <c r="N37" s="6">
        <f>'NiPA-62-F_UG_3__2026-03-24_13-0'!P42</f>
        <v/>
      </c>
      <c r="O37" s="6">
        <f>'NiPA-62-F_UG_4__2026-03-24_13-1'!P42</f>
        <v/>
      </c>
      <c r="P37" s="6">
        <f>'NiPA-62-F_UG_5__2026-03-24_13-2'!P42</f>
        <v/>
      </c>
      <c r="Q37" s="6">
        <f>'NiPA-62-F_UG_6__2026-03-24_13-2'!P42</f>
        <v/>
      </c>
      <c r="R37" s="6">
        <f>'NiPA-62-F_UG_7__2026-03-24_13-3'!P42</f>
        <v/>
      </c>
      <c r="S37" s="5">
        <f>№1!R42</f>
        <v/>
      </c>
      <c r="T37" s="5">
        <f>'NiPA-62-F_UG_1__2026-03-24_11-4'!R42</f>
        <v/>
      </c>
      <c r="U37" s="5">
        <f>'NiPA-62-F_UG_2__2026-03-24_11-5'!R42</f>
        <v/>
      </c>
      <c r="V37" s="5">
        <f>'NiPA-62-F_UG_3__2026-03-24_13-0'!R42</f>
        <v/>
      </c>
      <c r="W37" s="5">
        <f>'NiPA-62-F_UG_4__2026-03-24_13-1'!R42</f>
        <v/>
      </c>
      <c r="X37" s="5">
        <f>'NiPA-62-F_UG_5__2026-03-24_13-2'!R42</f>
        <v/>
      </c>
      <c r="Y37" s="5">
        <f>'NiPA-62-F_UG_6__2026-03-24_13-2'!R42</f>
        <v/>
      </c>
      <c r="Z37" s="5">
        <f>'NiPA-62-F_UG_7__2026-03-24_13-3'!R42</f>
        <v/>
      </c>
      <c r="AA37" s="6">
        <f>№1!Q42</f>
        <v/>
      </c>
      <c r="AB37" s="6">
        <f>'NiPA-62-F_UG_1__2026-03-24_11-4'!Q42</f>
        <v/>
      </c>
      <c r="AC37" s="6">
        <f>'NiPA-62-F_UG_2__2026-03-24_11-5'!Q42</f>
        <v/>
      </c>
      <c r="AD37" s="6">
        <f>'NiPA-62-F_UG_3__2026-03-24_13-0'!Q42</f>
        <v/>
      </c>
      <c r="AE37" s="6">
        <f>'NiPA-62-F_UG_4__2026-03-24_13-1'!Q42</f>
        <v/>
      </c>
      <c r="AF37" s="6">
        <f>'NiPA-62-F_UG_5__2026-03-24_13-2'!Q42</f>
        <v/>
      </c>
      <c r="AG37" s="6">
        <f>'NiPA-62-F_UG_6__2026-03-24_13-2'!Q42</f>
        <v/>
      </c>
      <c r="AH37" s="6">
        <f>'NiPA-62-F_UG_7__2026-03-24_13-3'!Q42</f>
        <v/>
      </c>
      <c r="AI37" s="5">
        <f>№1!S42</f>
        <v/>
      </c>
      <c r="AJ37" s="5">
        <f>'NiPA-62-F_UG_1__2026-03-24_11-4'!S42</f>
        <v/>
      </c>
      <c r="AK37" s="5">
        <f>'NiPA-62-F_UG_2__2026-03-24_11-5'!S42</f>
        <v/>
      </c>
      <c r="AL37" s="5">
        <f>'NiPA-62-F_UG_3__2026-03-24_13-0'!S42</f>
        <v/>
      </c>
      <c r="AM37" s="5">
        <f>'NiPA-62-F_UG_4__2026-03-24_13-1'!S42</f>
        <v/>
      </c>
      <c r="AN37" s="5">
        <f>'NiPA-62-F_UG_5__2026-03-24_13-2'!S42</f>
        <v/>
      </c>
      <c r="AO37" s="5">
        <f>'NiPA-62-F_UG_6__2026-03-24_13-2'!S42</f>
        <v/>
      </c>
      <c r="AP37" s="5">
        <f>'NiPA-62-F_UG_7__2026-03-24_13-3'!S42</f>
        <v/>
      </c>
      <c r="AQ37" s="6">
        <f>№1!T42</f>
        <v/>
      </c>
      <c r="AR37" s="6">
        <f>'NiPA-62-F_UG_1__2026-03-24_11-4'!T42</f>
        <v/>
      </c>
      <c r="AS37" s="6">
        <f>'NiPA-62-F_UG_2__2026-03-24_11-5'!T42</f>
        <v/>
      </c>
      <c r="AT37" s="6">
        <f>'NiPA-62-F_UG_3__2026-03-24_13-0'!T42</f>
        <v/>
      </c>
      <c r="AU37" s="6">
        <f>'NiPA-62-F_UG_4__2026-03-24_13-1'!T42</f>
        <v/>
      </c>
      <c r="AV37" s="6">
        <f>'NiPA-62-F_UG_5__2026-03-24_13-2'!T42</f>
        <v/>
      </c>
      <c r="AW37" s="6">
        <f>'NiPA-62-F_UG_6__2026-03-24_13-2'!T42</f>
        <v/>
      </c>
      <c r="AX37" s="6">
        <f>'NiPA-62-F_UG_7__2026-03-24_13-3'!T42</f>
        <v/>
      </c>
    </row>
    <row r="38">
      <c r="A38" s="4">
        <f>'NiPA-62-F_UG_7__2026-03-24_13-3'!B43</f>
        <v/>
      </c>
      <c r="B38" s="4">
        <f>A38/1000000000</f>
        <v/>
      </c>
      <c r="C38" s="5">
        <f>№1!U43</f>
        <v/>
      </c>
      <c r="D38" s="5">
        <f>'NiPA-62-F_UG_1__2026-03-24_11-4'!U43</f>
        <v/>
      </c>
      <c r="E38" s="5">
        <f>'NiPA-62-F_UG_2__2026-03-24_11-5'!U43</f>
        <v/>
      </c>
      <c r="F38" s="5">
        <f>'NiPA-62-F_UG_3__2026-03-24_13-0'!U43</f>
        <v/>
      </c>
      <c r="G38" s="5">
        <f>'NiPA-62-F_UG_4__2026-03-24_13-1'!U43</f>
        <v/>
      </c>
      <c r="H38" s="5">
        <f>'NiPA-62-F_UG_5__2026-03-24_13-2'!U43</f>
        <v/>
      </c>
      <c r="I38" s="5">
        <f>'NiPA-62-F_UG_6__2026-03-24_13-2'!U43</f>
        <v/>
      </c>
      <c r="J38" s="5">
        <f>'NiPA-62-F_UG_7__2026-03-24_13-3'!U43</f>
        <v/>
      </c>
      <c r="K38" s="6">
        <f>№1!P43</f>
        <v/>
      </c>
      <c r="L38" s="6">
        <f>'NiPA-62-F_UG_1__2026-03-24_11-4'!P43</f>
        <v/>
      </c>
      <c r="M38" s="6">
        <f>'NiPA-62-F_UG_2__2026-03-24_11-5'!P43</f>
        <v/>
      </c>
      <c r="N38" s="6">
        <f>'NiPA-62-F_UG_3__2026-03-24_13-0'!P43</f>
        <v/>
      </c>
      <c r="O38" s="6">
        <f>'NiPA-62-F_UG_4__2026-03-24_13-1'!P43</f>
        <v/>
      </c>
      <c r="P38" s="6">
        <f>'NiPA-62-F_UG_5__2026-03-24_13-2'!P43</f>
        <v/>
      </c>
      <c r="Q38" s="6">
        <f>'NiPA-62-F_UG_6__2026-03-24_13-2'!P43</f>
        <v/>
      </c>
      <c r="R38" s="6">
        <f>'NiPA-62-F_UG_7__2026-03-24_13-3'!P43</f>
        <v/>
      </c>
      <c r="S38" s="5">
        <f>№1!R43</f>
        <v/>
      </c>
      <c r="T38" s="5">
        <f>'NiPA-62-F_UG_1__2026-03-24_11-4'!R43</f>
        <v/>
      </c>
      <c r="U38" s="5">
        <f>'NiPA-62-F_UG_2__2026-03-24_11-5'!R43</f>
        <v/>
      </c>
      <c r="V38" s="5">
        <f>'NiPA-62-F_UG_3__2026-03-24_13-0'!R43</f>
        <v/>
      </c>
      <c r="W38" s="5">
        <f>'NiPA-62-F_UG_4__2026-03-24_13-1'!R43</f>
        <v/>
      </c>
      <c r="X38" s="5">
        <f>'NiPA-62-F_UG_5__2026-03-24_13-2'!R43</f>
        <v/>
      </c>
      <c r="Y38" s="5">
        <f>'NiPA-62-F_UG_6__2026-03-24_13-2'!R43</f>
        <v/>
      </c>
      <c r="Z38" s="5">
        <f>'NiPA-62-F_UG_7__2026-03-24_13-3'!R43</f>
        <v/>
      </c>
      <c r="AA38" s="6">
        <f>№1!Q43</f>
        <v/>
      </c>
      <c r="AB38" s="6">
        <f>'NiPA-62-F_UG_1__2026-03-24_11-4'!Q43</f>
        <v/>
      </c>
      <c r="AC38" s="6">
        <f>'NiPA-62-F_UG_2__2026-03-24_11-5'!Q43</f>
        <v/>
      </c>
      <c r="AD38" s="6">
        <f>'NiPA-62-F_UG_3__2026-03-24_13-0'!Q43</f>
        <v/>
      </c>
      <c r="AE38" s="6">
        <f>'NiPA-62-F_UG_4__2026-03-24_13-1'!Q43</f>
        <v/>
      </c>
      <c r="AF38" s="6">
        <f>'NiPA-62-F_UG_5__2026-03-24_13-2'!Q43</f>
        <v/>
      </c>
      <c r="AG38" s="6">
        <f>'NiPA-62-F_UG_6__2026-03-24_13-2'!Q43</f>
        <v/>
      </c>
      <c r="AH38" s="6">
        <f>'NiPA-62-F_UG_7__2026-03-24_13-3'!Q43</f>
        <v/>
      </c>
      <c r="AI38" s="5">
        <f>№1!S43</f>
        <v/>
      </c>
      <c r="AJ38" s="5">
        <f>'NiPA-62-F_UG_1__2026-03-24_11-4'!S43</f>
        <v/>
      </c>
      <c r="AK38" s="5">
        <f>'NiPA-62-F_UG_2__2026-03-24_11-5'!S43</f>
        <v/>
      </c>
      <c r="AL38" s="5">
        <f>'NiPA-62-F_UG_3__2026-03-24_13-0'!S43</f>
        <v/>
      </c>
      <c r="AM38" s="5">
        <f>'NiPA-62-F_UG_4__2026-03-24_13-1'!S43</f>
        <v/>
      </c>
      <c r="AN38" s="5">
        <f>'NiPA-62-F_UG_5__2026-03-24_13-2'!S43</f>
        <v/>
      </c>
      <c r="AO38" s="5">
        <f>'NiPA-62-F_UG_6__2026-03-24_13-2'!S43</f>
        <v/>
      </c>
      <c r="AP38" s="5">
        <f>'NiPA-62-F_UG_7__2026-03-24_13-3'!S43</f>
        <v/>
      </c>
      <c r="AQ38" s="6">
        <f>№1!T43</f>
        <v/>
      </c>
      <c r="AR38" s="6">
        <f>'NiPA-62-F_UG_1__2026-03-24_11-4'!T43</f>
        <v/>
      </c>
      <c r="AS38" s="6">
        <f>'NiPA-62-F_UG_2__2026-03-24_11-5'!T43</f>
        <v/>
      </c>
      <c r="AT38" s="6">
        <f>'NiPA-62-F_UG_3__2026-03-24_13-0'!T43</f>
        <v/>
      </c>
      <c r="AU38" s="6">
        <f>'NiPA-62-F_UG_4__2026-03-24_13-1'!T43</f>
        <v/>
      </c>
      <c r="AV38" s="6">
        <f>'NiPA-62-F_UG_5__2026-03-24_13-2'!T43</f>
        <v/>
      </c>
      <c r="AW38" s="6">
        <f>'NiPA-62-F_UG_6__2026-03-24_13-2'!T43</f>
        <v/>
      </c>
      <c r="AX38" s="6">
        <f>'NiPA-62-F_UG_7__2026-03-24_13-3'!T43</f>
        <v/>
      </c>
    </row>
    <row r="39">
      <c r="A39" s="3">
        <f>'NiPA-62-F_UG_7__2026-03-24_13-3'!B44</f>
        <v/>
      </c>
      <c r="B39" s="4">
        <f>A39/1000000000</f>
        <v/>
      </c>
      <c r="C39" s="5">
        <f>№1!U44</f>
        <v/>
      </c>
      <c r="D39" s="5">
        <f>'NiPA-62-F_UG_1__2026-03-24_11-4'!U44</f>
        <v/>
      </c>
      <c r="E39" s="5">
        <f>'NiPA-62-F_UG_2__2026-03-24_11-5'!U44</f>
        <v/>
      </c>
      <c r="F39" s="5">
        <f>'NiPA-62-F_UG_3__2026-03-24_13-0'!U44</f>
        <v/>
      </c>
      <c r="G39" s="5">
        <f>'NiPA-62-F_UG_4__2026-03-24_13-1'!U44</f>
        <v/>
      </c>
      <c r="H39" s="5">
        <f>'NiPA-62-F_UG_5__2026-03-24_13-2'!U44</f>
        <v/>
      </c>
      <c r="I39" s="5">
        <f>'NiPA-62-F_UG_6__2026-03-24_13-2'!U44</f>
        <v/>
      </c>
      <c r="J39" s="5">
        <f>'NiPA-62-F_UG_7__2026-03-24_13-3'!U44</f>
        <v/>
      </c>
      <c r="K39" s="6">
        <f>№1!P44</f>
        <v/>
      </c>
      <c r="L39" s="6">
        <f>'NiPA-62-F_UG_1__2026-03-24_11-4'!P44</f>
        <v/>
      </c>
      <c r="M39" s="6">
        <f>'NiPA-62-F_UG_2__2026-03-24_11-5'!P44</f>
        <v/>
      </c>
      <c r="N39" s="6">
        <f>'NiPA-62-F_UG_3__2026-03-24_13-0'!P44</f>
        <v/>
      </c>
      <c r="O39" s="6">
        <f>'NiPA-62-F_UG_4__2026-03-24_13-1'!P44</f>
        <v/>
      </c>
      <c r="P39" s="6">
        <f>'NiPA-62-F_UG_5__2026-03-24_13-2'!P44</f>
        <v/>
      </c>
      <c r="Q39" s="6">
        <f>'NiPA-62-F_UG_6__2026-03-24_13-2'!P44</f>
        <v/>
      </c>
      <c r="R39" s="6">
        <f>'NiPA-62-F_UG_7__2026-03-24_13-3'!P44</f>
        <v/>
      </c>
      <c r="S39" s="5">
        <f>№1!R44</f>
        <v/>
      </c>
      <c r="T39" s="5">
        <f>'NiPA-62-F_UG_1__2026-03-24_11-4'!R44</f>
        <v/>
      </c>
      <c r="U39" s="5">
        <f>'NiPA-62-F_UG_2__2026-03-24_11-5'!R44</f>
        <v/>
      </c>
      <c r="V39" s="5">
        <f>'NiPA-62-F_UG_3__2026-03-24_13-0'!R44</f>
        <v/>
      </c>
      <c r="W39" s="5">
        <f>'NiPA-62-F_UG_4__2026-03-24_13-1'!R44</f>
        <v/>
      </c>
      <c r="X39" s="5">
        <f>'NiPA-62-F_UG_5__2026-03-24_13-2'!R44</f>
        <v/>
      </c>
      <c r="Y39" s="5">
        <f>'NiPA-62-F_UG_6__2026-03-24_13-2'!R44</f>
        <v/>
      </c>
      <c r="Z39" s="5">
        <f>'NiPA-62-F_UG_7__2026-03-24_13-3'!R44</f>
        <v/>
      </c>
      <c r="AA39" s="6">
        <f>№1!Q44</f>
        <v/>
      </c>
      <c r="AB39" s="6">
        <f>'NiPA-62-F_UG_1__2026-03-24_11-4'!Q44</f>
        <v/>
      </c>
      <c r="AC39" s="6">
        <f>'NiPA-62-F_UG_2__2026-03-24_11-5'!Q44</f>
        <v/>
      </c>
      <c r="AD39" s="6">
        <f>'NiPA-62-F_UG_3__2026-03-24_13-0'!Q44</f>
        <v/>
      </c>
      <c r="AE39" s="6">
        <f>'NiPA-62-F_UG_4__2026-03-24_13-1'!Q44</f>
        <v/>
      </c>
      <c r="AF39" s="6">
        <f>'NiPA-62-F_UG_5__2026-03-24_13-2'!Q44</f>
        <v/>
      </c>
      <c r="AG39" s="6">
        <f>'NiPA-62-F_UG_6__2026-03-24_13-2'!Q44</f>
        <v/>
      </c>
      <c r="AH39" s="6">
        <f>'NiPA-62-F_UG_7__2026-03-24_13-3'!Q44</f>
        <v/>
      </c>
      <c r="AI39" s="5">
        <f>№1!S44</f>
        <v/>
      </c>
      <c r="AJ39" s="5">
        <f>'NiPA-62-F_UG_1__2026-03-24_11-4'!S44</f>
        <v/>
      </c>
      <c r="AK39" s="5">
        <f>'NiPA-62-F_UG_2__2026-03-24_11-5'!S44</f>
        <v/>
      </c>
      <c r="AL39" s="5">
        <f>'NiPA-62-F_UG_3__2026-03-24_13-0'!S44</f>
        <v/>
      </c>
      <c r="AM39" s="5">
        <f>'NiPA-62-F_UG_4__2026-03-24_13-1'!S44</f>
        <v/>
      </c>
      <c r="AN39" s="5">
        <f>'NiPA-62-F_UG_5__2026-03-24_13-2'!S44</f>
        <v/>
      </c>
      <c r="AO39" s="5">
        <f>'NiPA-62-F_UG_6__2026-03-24_13-2'!S44</f>
        <v/>
      </c>
      <c r="AP39" s="5">
        <f>'NiPA-62-F_UG_7__2026-03-24_13-3'!S44</f>
        <v/>
      </c>
      <c r="AQ39" s="6">
        <f>№1!T44</f>
        <v/>
      </c>
      <c r="AR39" s="6">
        <f>'NiPA-62-F_UG_1__2026-03-24_11-4'!T44</f>
        <v/>
      </c>
      <c r="AS39" s="6">
        <f>'NiPA-62-F_UG_2__2026-03-24_11-5'!T44</f>
        <v/>
      </c>
      <c r="AT39" s="6">
        <f>'NiPA-62-F_UG_3__2026-03-24_13-0'!T44</f>
        <v/>
      </c>
      <c r="AU39" s="6">
        <f>'NiPA-62-F_UG_4__2026-03-24_13-1'!T44</f>
        <v/>
      </c>
      <c r="AV39" s="6">
        <f>'NiPA-62-F_UG_5__2026-03-24_13-2'!T44</f>
        <v/>
      </c>
      <c r="AW39" s="6">
        <f>'NiPA-62-F_UG_6__2026-03-24_13-2'!T44</f>
        <v/>
      </c>
      <c r="AX39" s="6">
        <f>'NiPA-62-F_UG_7__2026-03-24_13-3'!T44</f>
        <v/>
      </c>
    </row>
    <row r="40">
      <c r="A40" s="4">
        <f>'NiPA-62-F_UG_7__2026-03-24_13-3'!B45</f>
        <v/>
      </c>
      <c r="B40" s="4">
        <f>A40/1000000000</f>
        <v/>
      </c>
      <c r="C40" s="5">
        <f>№1!U45</f>
        <v/>
      </c>
      <c r="D40" s="5">
        <f>'NiPA-62-F_UG_1__2026-03-24_11-4'!U45</f>
        <v/>
      </c>
      <c r="E40" s="5">
        <f>'NiPA-62-F_UG_2__2026-03-24_11-5'!U45</f>
        <v/>
      </c>
      <c r="F40" s="5">
        <f>'NiPA-62-F_UG_3__2026-03-24_13-0'!U45</f>
        <v/>
      </c>
      <c r="G40" s="5">
        <f>'NiPA-62-F_UG_4__2026-03-24_13-1'!U45</f>
        <v/>
      </c>
      <c r="H40" s="5">
        <f>'NiPA-62-F_UG_5__2026-03-24_13-2'!U45</f>
        <v/>
      </c>
      <c r="I40" s="5">
        <f>'NiPA-62-F_UG_6__2026-03-24_13-2'!U45</f>
        <v/>
      </c>
      <c r="J40" s="5">
        <f>'NiPA-62-F_UG_7__2026-03-24_13-3'!U45</f>
        <v/>
      </c>
      <c r="K40" s="6">
        <f>№1!P45</f>
        <v/>
      </c>
      <c r="L40" s="6">
        <f>'NiPA-62-F_UG_1__2026-03-24_11-4'!P45</f>
        <v/>
      </c>
      <c r="M40" s="6">
        <f>'NiPA-62-F_UG_2__2026-03-24_11-5'!P45</f>
        <v/>
      </c>
      <c r="N40" s="6">
        <f>'NiPA-62-F_UG_3__2026-03-24_13-0'!P45</f>
        <v/>
      </c>
      <c r="O40" s="6">
        <f>'NiPA-62-F_UG_4__2026-03-24_13-1'!P45</f>
        <v/>
      </c>
      <c r="P40" s="6">
        <f>'NiPA-62-F_UG_5__2026-03-24_13-2'!P45</f>
        <v/>
      </c>
      <c r="Q40" s="6">
        <f>'NiPA-62-F_UG_6__2026-03-24_13-2'!P45</f>
        <v/>
      </c>
      <c r="R40" s="6">
        <f>'NiPA-62-F_UG_7__2026-03-24_13-3'!P45</f>
        <v/>
      </c>
      <c r="S40" s="5">
        <f>№1!R45</f>
        <v/>
      </c>
      <c r="T40" s="5">
        <f>'NiPA-62-F_UG_1__2026-03-24_11-4'!R45</f>
        <v/>
      </c>
      <c r="U40" s="5">
        <f>'NiPA-62-F_UG_2__2026-03-24_11-5'!R45</f>
        <v/>
      </c>
      <c r="V40" s="5">
        <f>'NiPA-62-F_UG_3__2026-03-24_13-0'!R45</f>
        <v/>
      </c>
      <c r="W40" s="5">
        <f>'NiPA-62-F_UG_4__2026-03-24_13-1'!R45</f>
        <v/>
      </c>
      <c r="X40" s="5">
        <f>'NiPA-62-F_UG_5__2026-03-24_13-2'!R45</f>
        <v/>
      </c>
      <c r="Y40" s="5">
        <f>'NiPA-62-F_UG_6__2026-03-24_13-2'!R45</f>
        <v/>
      </c>
      <c r="Z40" s="5">
        <f>'NiPA-62-F_UG_7__2026-03-24_13-3'!R45</f>
        <v/>
      </c>
      <c r="AA40" s="6">
        <f>№1!Q45</f>
        <v/>
      </c>
      <c r="AB40" s="6">
        <f>'NiPA-62-F_UG_1__2026-03-24_11-4'!Q45</f>
        <v/>
      </c>
      <c r="AC40" s="6">
        <f>'NiPA-62-F_UG_2__2026-03-24_11-5'!Q45</f>
        <v/>
      </c>
      <c r="AD40" s="6">
        <f>'NiPA-62-F_UG_3__2026-03-24_13-0'!Q45</f>
        <v/>
      </c>
      <c r="AE40" s="6">
        <f>'NiPA-62-F_UG_4__2026-03-24_13-1'!Q45</f>
        <v/>
      </c>
      <c r="AF40" s="6">
        <f>'NiPA-62-F_UG_5__2026-03-24_13-2'!Q45</f>
        <v/>
      </c>
      <c r="AG40" s="6">
        <f>'NiPA-62-F_UG_6__2026-03-24_13-2'!Q45</f>
        <v/>
      </c>
      <c r="AH40" s="6">
        <f>'NiPA-62-F_UG_7__2026-03-24_13-3'!Q45</f>
        <v/>
      </c>
      <c r="AI40" s="5">
        <f>№1!S45</f>
        <v/>
      </c>
      <c r="AJ40" s="5">
        <f>'NiPA-62-F_UG_1__2026-03-24_11-4'!S45</f>
        <v/>
      </c>
      <c r="AK40" s="5">
        <f>'NiPA-62-F_UG_2__2026-03-24_11-5'!S45</f>
        <v/>
      </c>
      <c r="AL40" s="5">
        <f>'NiPA-62-F_UG_3__2026-03-24_13-0'!S45</f>
        <v/>
      </c>
      <c r="AM40" s="5">
        <f>'NiPA-62-F_UG_4__2026-03-24_13-1'!S45</f>
        <v/>
      </c>
      <c r="AN40" s="5">
        <f>'NiPA-62-F_UG_5__2026-03-24_13-2'!S45</f>
        <v/>
      </c>
      <c r="AO40" s="5">
        <f>'NiPA-62-F_UG_6__2026-03-24_13-2'!S45</f>
        <v/>
      </c>
      <c r="AP40" s="5">
        <f>'NiPA-62-F_UG_7__2026-03-24_13-3'!S45</f>
        <v/>
      </c>
      <c r="AQ40" s="6">
        <f>№1!T45</f>
        <v/>
      </c>
      <c r="AR40" s="6">
        <f>'NiPA-62-F_UG_1__2026-03-24_11-4'!T45</f>
        <v/>
      </c>
      <c r="AS40" s="6">
        <f>'NiPA-62-F_UG_2__2026-03-24_11-5'!T45</f>
        <v/>
      </c>
      <c r="AT40" s="6">
        <f>'NiPA-62-F_UG_3__2026-03-24_13-0'!T45</f>
        <v/>
      </c>
      <c r="AU40" s="6">
        <f>'NiPA-62-F_UG_4__2026-03-24_13-1'!T45</f>
        <v/>
      </c>
      <c r="AV40" s="6">
        <f>'NiPA-62-F_UG_5__2026-03-24_13-2'!T45</f>
        <v/>
      </c>
      <c r="AW40" s="6">
        <f>'NiPA-62-F_UG_6__2026-03-24_13-2'!T45</f>
        <v/>
      </c>
      <c r="AX40" s="6">
        <f>'NiPA-62-F_UG_7__2026-03-24_13-3'!T45</f>
        <v/>
      </c>
    </row>
    <row r="41">
      <c r="A41" s="3">
        <f>'NiPA-62-F_UG_7__2026-03-24_13-3'!B46</f>
        <v/>
      </c>
      <c r="B41" s="4">
        <f>A41/1000000000</f>
        <v/>
      </c>
      <c r="C41" s="5">
        <f>№1!U46</f>
        <v/>
      </c>
      <c r="D41" s="5">
        <f>'NiPA-62-F_UG_1__2026-03-24_11-4'!U46</f>
        <v/>
      </c>
      <c r="E41" s="5">
        <f>'NiPA-62-F_UG_2__2026-03-24_11-5'!U46</f>
        <v/>
      </c>
      <c r="F41" s="5">
        <f>'NiPA-62-F_UG_3__2026-03-24_13-0'!U46</f>
        <v/>
      </c>
      <c r="G41" s="5">
        <f>'NiPA-62-F_UG_4__2026-03-24_13-1'!U46</f>
        <v/>
      </c>
      <c r="H41" s="5">
        <f>'NiPA-62-F_UG_5__2026-03-24_13-2'!U46</f>
        <v/>
      </c>
      <c r="I41" s="5">
        <f>'NiPA-62-F_UG_6__2026-03-24_13-2'!U46</f>
        <v/>
      </c>
      <c r="J41" s="5">
        <f>'NiPA-62-F_UG_7__2026-03-24_13-3'!U46</f>
        <v/>
      </c>
      <c r="K41" s="6">
        <f>№1!P46</f>
        <v/>
      </c>
      <c r="L41" s="6">
        <f>'NiPA-62-F_UG_1__2026-03-24_11-4'!P46</f>
        <v/>
      </c>
      <c r="M41" s="6">
        <f>'NiPA-62-F_UG_2__2026-03-24_11-5'!P46</f>
        <v/>
      </c>
      <c r="N41" s="6">
        <f>'NiPA-62-F_UG_3__2026-03-24_13-0'!P46</f>
        <v/>
      </c>
      <c r="O41" s="6">
        <f>'NiPA-62-F_UG_4__2026-03-24_13-1'!P46</f>
        <v/>
      </c>
      <c r="P41" s="6">
        <f>'NiPA-62-F_UG_5__2026-03-24_13-2'!P46</f>
        <v/>
      </c>
      <c r="Q41" s="6">
        <f>'NiPA-62-F_UG_6__2026-03-24_13-2'!P46</f>
        <v/>
      </c>
      <c r="R41" s="6">
        <f>'NiPA-62-F_UG_7__2026-03-24_13-3'!P46</f>
        <v/>
      </c>
      <c r="S41" s="5">
        <f>№1!R46</f>
        <v/>
      </c>
      <c r="T41" s="5">
        <f>'NiPA-62-F_UG_1__2026-03-24_11-4'!R46</f>
        <v/>
      </c>
      <c r="U41" s="5">
        <f>'NiPA-62-F_UG_2__2026-03-24_11-5'!R46</f>
        <v/>
      </c>
      <c r="V41" s="5">
        <f>'NiPA-62-F_UG_3__2026-03-24_13-0'!R46</f>
        <v/>
      </c>
      <c r="W41" s="5">
        <f>'NiPA-62-F_UG_4__2026-03-24_13-1'!R46</f>
        <v/>
      </c>
      <c r="X41" s="5">
        <f>'NiPA-62-F_UG_5__2026-03-24_13-2'!R46</f>
        <v/>
      </c>
      <c r="Y41" s="5">
        <f>'NiPA-62-F_UG_6__2026-03-24_13-2'!R46</f>
        <v/>
      </c>
      <c r="Z41" s="5">
        <f>'NiPA-62-F_UG_7__2026-03-24_13-3'!R46</f>
        <v/>
      </c>
      <c r="AA41" s="6">
        <f>№1!Q46</f>
        <v/>
      </c>
      <c r="AB41" s="6">
        <f>'NiPA-62-F_UG_1__2026-03-24_11-4'!Q46</f>
        <v/>
      </c>
      <c r="AC41" s="6">
        <f>'NiPA-62-F_UG_2__2026-03-24_11-5'!Q46</f>
        <v/>
      </c>
      <c r="AD41" s="6">
        <f>'NiPA-62-F_UG_3__2026-03-24_13-0'!Q46</f>
        <v/>
      </c>
      <c r="AE41" s="6">
        <f>'NiPA-62-F_UG_4__2026-03-24_13-1'!Q46</f>
        <v/>
      </c>
      <c r="AF41" s="6">
        <f>'NiPA-62-F_UG_5__2026-03-24_13-2'!Q46</f>
        <v/>
      </c>
      <c r="AG41" s="6">
        <f>'NiPA-62-F_UG_6__2026-03-24_13-2'!Q46</f>
        <v/>
      </c>
      <c r="AH41" s="6">
        <f>'NiPA-62-F_UG_7__2026-03-24_13-3'!Q46</f>
        <v/>
      </c>
      <c r="AI41" s="5">
        <f>№1!S46</f>
        <v/>
      </c>
      <c r="AJ41" s="5">
        <f>'NiPA-62-F_UG_1__2026-03-24_11-4'!S46</f>
        <v/>
      </c>
      <c r="AK41" s="5">
        <f>'NiPA-62-F_UG_2__2026-03-24_11-5'!S46</f>
        <v/>
      </c>
      <c r="AL41" s="5">
        <f>'NiPA-62-F_UG_3__2026-03-24_13-0'!S46</f>
        <v/>
      </c>
      <c r="AM41" s="5">
        <f>'NiPA-62-F_UG_4__2026-03-24_13-1'!S46</f>
        <v/>
      </c>
      <c r="AN41" s="5">
        <f>'NiPA-62-F_UG_5__2026-03-24_13-2'!S46</f>
        <v/>
      </c>
      <c r="AO41" s="5">
        <f>'NiPA-62-F_UG_6__2026-03-24_13-2'!S46</f>
        <v/>
      </c>
      <c r="AP41" s="5">
        <f>'NiPA-62-F_UG_7__2026-03-24_13-3'!S46</f>
        <v/>
      </c>
      <c r="AQ41" s="6">
        <f>№1!T46</f>
        <v/>
      </c>
      <c r="AR41" s="6">
        <f>'NiPA-62-F_UG_1__2026-03-24_11-4'!T46</f>
        <v/>
      </c>
      <c r="AS41" s="6">
        <f>'NiPA-62-F_UG_2__2026-03-24_11-5'!T46</f>
        <v/>
      </c>
      <c r="AT41" s="6">
        <f>'NiPA-62-F_UG_3__2026-03-24_13-0'!T46</f>
        <v/>
      </c>
      <c r="AU41" s="6">
        <f>'NiPA-62-F_UG_4__2026-03-24_13-1'!T46</f>
        <v/>
      </c>
      <c r="AV41" s="6">
        <f>'NiPA-62-F_UG_5__2026-03-24_13-2'!T46</f>
        <v/>
      </c>
      <c r="AW41" s="6">
        <f>'NiPA-62-F_UG_6__2026-03-24_13-2'!T46</f>
        <v/>
      </c>
      <c r="AX41" s="6">
        <f>'NiPA-62-F_UG_7__2026-03-24_13-3'!T46</f>
        <v/>
      </c>
    </row>
    <row r="42">
      <c r="A42" s="4">
        <f>#REF!</f>
        <v/>
      </c>
      <c r="B42" s="4">
        <f>A42/1000000000</f>
        <v/>
      </c>
      <c r="C42" s="5">
        <f>№1!U47</f>
        <v/>
      </c>
      <c r="D42" s="5">
        <f>#REF!</f>
        <v/>
      </c>
      <c r="E42" s="5">
        <f>#REF!</f>
        <v/>
      </c>
      <c r="F42" s="5">
        <f>#REF!</f>
        <v/>
      </c>
      <c r="G42" s="5">
        <f>#REF!</f>
        <v/>
      </c>
      <c r="H42" s="5">
        <f>#REF!</f>
        <v/>
      </c>
      <c r="I42" s="5">
        <f>#REF!</f>
        <v/>
      </c>
      <c r="J42" s="5">
        <f>#REF!</f>
        <v/>
      </c>
      <c r="K42" s="6">
        <f>№1!P47</f>
        <v/>
      </c>
      <c r="L42" s="6">
        <f>#REF!</f>
        <v/>
      </c>
      <c r="M42" s="6">
        <f>#REF!</f>
        <v/>
      </c>
      <c r="N42" s="6">
        <f>#REF!</f>
        <v/>
      </c>
      <c r="O42" s="6">
        <f>#REF!</f>
        <v/>
      </c>
      <c r="P42" s="6">
        <f>#REF!</f>
        <v/>
      </c>
      <c r="Q42" s="6">
        <f>#REF!</f>
        <v/>
      </c>
      <c r="R42" s="6">
        <f>#REF!</f>
        <v/>
      </c>
      <c r="S42" s="5">
        <f>№1!R47</f>
        <v/>
      </c>
      <c r="T42" s="5">
        <f>#REF!</f>
        <v/>
      </c>
      <c r="U42" s="5">
        <f>#REF!</f>
        <v/>
      </c>
      <c r="V42" s="5">
        <f>#REF!</f>
        <v/>
      </c>
      <c r="W42" s="5">
        <f>#REF!</f>
        <v/>
      </c>
      <c r="X42" s="5">
        <f>#REF!</f>
        <v/>
      </c>
      <c r="Y42" s="5">
        <f>#REF!</f>
        <v/>
      </c>
      <c r="Z42" s="5">
        <f>#REF!</f>
        <v/>
      </c>
      <c r="AA42" s="6">
        <f>№1!Q47</f>
        <v/>
      </c>
      <c r="AB42" s="6">
        <f>#REF!</f>
        <v/>
      </c>
      <c r="AC42" s="6">
        <f>#REF!</f>
        <v/>
      </c>
      <c r="AD42" s="6">
        <f>#REF!</f>
        <v/>
      </c>
      <c r="AE42" s="6">
        <f>#REF!</f>
        <v/>
      </c>
      <c r="AF42" s="6">
        <f>#REF!</f>
        <v/>
      </c>
      <c r="AG42" s="6">
        <f>#REF!</f>
        <v/>
      </c>
      <c r="AH42" s="6">
        <f>#REF!</f>
        <v/>
      </c>
      <c r="AI42" s="5">
        <f>№1!S47</f>
        <v/>
      </c>
      <c r="AJ42" s="5">
        <f>#REF!</f>
        <v/>
      </c>
      <c r="AK42" s="5">
        <f>#REF!</f>
        <v/>
      </c>
      <c r="AL42" s="5">
        <f>#REF!</f>
        <v/>
      </c>
      <c r="AM42" s="5">
        <f>#REF!</f>
        <v/>
      </c>
      <c r="AN42" s="5">
        <f>#REF!</f>
        <v/>
      </c>
      <c r="AO42" s="5">
        <f>#REF!</f>
        <v/>
      </c>
      <c r="AP42" s="5">
        <f>#REF!</f>
        <v/>
      </c>
      <c r="AQ42" s="6">
        <f>№1!T47</f>
        <v/>
      </c>
      <c r="AR42" s="6">
        <f>#REF!</f>
        <v/>
      </c>
      <c r="AS42" s="6">
        <f>#REF!</f>
        <v/>
      </c>
      <c r="AT42" s="6">
        <f>#REF!</f>
        <v/>
      </c>
      <c r="AU42" s="6">
        <f>#REF!</f>
        <v/>
      </c>
      <c r="AV42" s="6">
        <f>#REF!</f>
        <v/>
      </c>
      <c r="AW42" s="6">
        <f>#REF!</f>
        <v/>
      </c>
      <c r="AX42" s="6">
        <f>#REF!</f>
        <v/>
      </c>
    </row>
    <row r="43">
      <c r="A43" s="3">
        <f>#REF!</f>
        <v/>
      </c>
      <c r="B43" s="4">
        <f>A43/1000000000</f>
        <v/>
      </c>
      <c r="C43" s="5">
        <f>№1!U48</f>
        <v/>
      </c>
      <c r="D43" s="5">
        <f>#REF!</f>
        <v/>
      </c>
      <c r="E43" s="5">
        <f>#REF!</f>
        <v/>
      </c>
      <c r="F43" s="5">
        <f>#REF!</f>
        <v/>
      </c>
      <c r="G43" s="5">
        <f>#REF!</f>
        <v/>
      </c>
      <c r="H43" s="5">
        <f>#REF!</f>
        <v/>
      </c>
      <c r="I43" s="5">
        <f>#REF!</f>
        <v/>
      </c>
      <c r="J43" s="5">
        <f>#REF!</f>
        <v/>
      </c>
      <c r="K43" s="6">
        <f>№1!P48</f>
        <v/>
      </c>
      <c r="L43" s="6">
        <f>#REF!</f>
        <v/>
      </c>
      <c r="M43" s="6">
        <f>#REF!</f>
        <v/>
      </c>
      <c r="N43" s="6">
        <f>#REF!</f>
        <v/>
      </c>
      <c r="O43" s="6">
        <f>#REF!</f>
        <v/>
      </c>
      <c r="P43" s="6">
        <f>#REF!</f>
        <v/>
      </c>
      <c r="Q43" s="6">
        <f>#REF!</f>
        <v/>
      </c>
      <c r="R43" s="6">
        <f>#REF!</f>
        <v/>
      </c>
      <c r="S43" s="5">
        <f>№1!R48</f>
        <v/>
      </c>
      <c r="T43" s="5">
        <f>#REF!</f>
        <v/>
      </c>
      <c r="U43" s="5">
        <f>#REF!</f>
        <v/>
      </c>
      <c r="V43" s="5">
        <f>#REF!</f>
        <v/>
      </c>
      <c r="W43" s="5">
        <f>#REF!</f>
        <v/>
      </c>
      <c r="X43" s="5">
        <f>#REF!</f>
        <v/>
      </c>
      <c r="Y43" s="5">
        <f>#REF!</f>
        <v/>
      </c>
      <c r="Z43" s="5">
        <f>#REF!</f>
        <v/>
      </c>
      <c r="AA43" s="6">
        <f>№1!Q48</f>
        <v/>
      </c>
      <c r="AB43" s="6">
        <f>#REF!</f>
        <v/>
      </c>
      <c r="AC43" s="6">
        <f>#REF!</f>
        <v/>
      </c>
      <c r="AD43" s="6">
        <f>#REF!</f>
        <v/>
      </c>
      <c r="AE43" s="6">
        <f>#REF!</f>
        <v/>
      </c>
      <c r="AF43" s="6">
        <f>#REF!</f>
        <v/>
      </c>
      <c r="AG43" s="6">
        <f>#REF!</f>
        <v/>
      </c>
      <c r="AH43" s="6">
        <f>#REF!</f>
        <v/>
      </c>
      <c r="AI43" s="5">
        <f>№1!S48</f>
        <v/>
      </c>
      <c r="AJ43" s="5">
        <f>#REF!</f>
        <v/>
      </c>
      <c r="AK43" s="5">
        <f>#REF!</f>
        <v/>
      </c>
      <c r="AL43" s="5">
        <f>#REF!</f>
        <v/>
      </c>
      <c r="AM43" s="5">
        <f>#REF!</f>
        <v/>
      </c>
      <c r="AN43" s="5">
        <f>#REF!</f>
        <v/>
      </c>
      <c r="AO43" s="5">
        <f>#REF!</f>
        <v/>
      </c>
      <c r="AP43" s="5">
        <f>#REF!</f>
        <v/>
      </c>
      <c r="AQ43" s="6">
        <f>№1!T48</f>
        <v/>
      </c>
      <c r="AR43" s="6">
        <f>#REF!</f>
        <v/>
      </c>
      <c r="AS43" s="6">
        <f>#REF!</f>
        <v/>
      </c>
      <c r="AT43" s="6">
        <f>#REF!</f>
        <v/>
      </c>
      <c r="AU43" s="6">
        <f>#REF!</f>
        <v/>
      </c>
      <c r="AV43" s="6">
        <f>#REF!</f>
        <v/>
      </c>
      <c r="AW43" s="6">
        <f>#REF!</f>
        <v/>
      </c>
      <c r="AX43" s="6">
        <f>#REF!</f>
        <v/>
      </c>
    </row>
    <row r="44">
      <c r="A44" s="4">
        <f>#REF!</f>
        <v/>
      </c>
      <c r="B44" s="4">
        <f>A44/1000000000</f>
        <v/>
      </c>
      <c r="C44" s="5">
        <f>№1!U49</f>
        <v/>
      </c>
      <c r="D44" s="5">
        <f>#REF!</f>
        <v/>
      </c>
      <c r="E44" s="5">
        <f>#REF!</f>
        <v/>
      </c>
      <c r="F44" s="5">
        <f>#REF!</f>
        <v/>
      </c>
      <c r="G44" s="5">
        <f>#REF!</f>
        <v/>
      </c>
      <c r="H44" s="5">
        <f>#REF!</f>
        <v/>
      </c>
      <c r="I44" s="5">
        <f>#REF!</f>
        <v/>
      </c>
      <c r="J44" s="5">
        <f>#REF!</f>
        <v/>
      </c>
      <c r="K44" s="6">
        <f>№1!P49</f>
        <v/>
      </c>
      <c r="L44" s="6">
        <f>#REF!</f>
        <v/>
      </c>
      <c r="M44" s="6">
        <f>#REF!</f>
        <v/>
      </c>
      <c r="N44" s="6">
        <f>#REF!</f>
        <v/>
      </c>
      <c r="O44" s="6">
        <f>#REF!</f>
        <v/>
      </c>
      <c r="P44" s="6">
        <f>#REF!</f>
        <v/>
      </c>
      <c r="Q44" s="6">
        <f>#REF!</f>
        <v/>
      </c>
      <c r="R44" s="6">
        <f>#REF!</f>
        <v/>
      </c>
      <c r="S44" s="5">
        <f>№1!R49</f>
        <v/>
      </c>
      <c r="T44" s="5">
        <f>#REF!</f>
        <v/>
      </c>
      <c r="U44" s="5">
        <f>#REF!</f>
        <v/>
      </c>
      <c r="V44" s="5">
        <f>#REF!</f>
        <v/>
      </c>
      <c r="W44" s="5">
        <f>#REF!</f>
        <v/>
      </c>
      <c r="X44" s="5">
        <f>#REF!</f>
        <v/>
      </c>
      <c r="Y44" s="5">
        <f>#REF!</f>
        <v/>
      </c>
      <c r="Z44" s="5">
        <f>#REF!</f>
        <v/>
      </c>
      <c r="AA44" s="6">
        <f>№1!Q49</f>
        <v/>
      </c>
      <c r="AB44" s="6">
        <f>#REF!</f>
        <v/>
      </c>
      <c r="AC44" s="6">
        <f>#REF!</f>
        <v/>
      </c>
      <c r="AD44" s="6">
        <f>#REF!</f>
        <v/>
      </c>
      <c r="AE44" s="6">
        <f>#REF!</f>
        <v/>
      </c>
      <c r="AF44" s="6">
        <f>#REF!</f>
        <v/>
      </c>
      <c r="AG44" s="6">
        <f>#REF!</f>
        <v/>
      </c>
      <c r="AH44" s="6">
        <f>#REF!</f>
        <v/>
      </c>
      <c r="AI44" s="5">
        <f>№1!S49</f>
        <v/>
      </c>
      <c r="AJ44" s="5">
        <f>#REF!</f>
        <v/>
      </c>
      <c r="AK44" s="5">
        <f>#REF!</f>
        <v/>
      </c>
      <c r="AL44" s="5">
        <f>#REF!</f>
        <v/>
      </c>
      <c r="AM44" s="5">
        <f>#REF!</f>
        <v/>
      </c>
      <c r="AN44" s="5">
        <f>#REF!</f>
        <v/>
      </c>
      <c r="AO44" s="5">
        <f>#REF!</f>
        <v/>
      </c>
      <c r="AP44" s="5">
        <f>#REF!</f>
        <v/>
      </c>
      <c r="AQ44" s="6">
        <f>№1!T49</f>
        <v/>
      </c>
      <c r="AR44" s="6">
        <f>#REF!</f>
        <v/>
      </c>
      <c r="AS44" s="6">
        <f>#REF!</f>
        <v/>
      </c>
      <c r="AT44" s="6">
        <f>#REF!</f>
        <v/>
      </c>
      <c r="AU44" s="6">
        <f>#REF!</f>
        <v/>
      </c>
      <c r="AV44" s="6">
        <f>#REF!</f>
        <v/>
      </c>
      <c r="AW44" s="6">
        <f>#REF!</f>
        <v/>
      </c>
      <c r="AX44" s="6">
        <f>#REF!</f>
        <v/>
      </c>
    </row>
    <row r="45">
      <c r="A45" s="3">
        <f>#REF!</f>
        <v/>
      </c>
      <c r="B45" s="4">
        <f>A45/1000000000</f>
        <v/>
      </c>
      <c r="C45" s="5">
        <f>№1!U50</f>
        <v/>
      </c>
      <c r="D45" s="5">
        <f>#REF!</f>
        <v/>
      </c>
      <c r="E45" s="5">
        <f>#REF!</f>
        <v/>
      </c>
      <c r="F45" s="5">
        <f>#REF!</f>
        <v/>
      </c>
      <c r="G45" s="5">
        <f>#REF!</f>
        <v/>
      </c>
      <c r="H45" s="5">
        <f>#REF!</f>
        <v/>
      </c>
      <c r="I45" s="5">
        <f>#REF!</f>
        <v/>
      </c>
      <c r="J45" s="5">
        <f>#REF!</f>
        <v/>
      </c>
      <c r="K45" s="6">
        <f>№1!P50</f>
        <v/>
      </c>
      <c r="L45" s="6">
        <f>#REF!</f>
        <v/>
      </c>
      <c r="M45" s="6">
        <f>#REF!</f>
        <v/>
      </c>
      <c r="N45" s="6">
        <f>#REF!</f>
        <v/>
      </c>
      <c r="O45" s="6">
        <f>#REF!</f>
        <v/>
      </c>
      <c r="P45" s="6">
        <f>#REF!</f>
        <v/>
      </c>
      <c r="Q45" s="6">
        <f>#REF!</f>
        <v/>
      </c>
      <c r="R45" s="6">
        <f>#REF!</f>
        <v/>
      </c>
      <c r="S45" s="5">
        <f>№1!R50</f>
        <v/>
      </c>
      <c r="T45" s="5">
        <f>#REF!</f>
        <v/>
      </c>
      <c r="U45" s="5">
        <f>#REF!</f>
        <v/>
      </c>
      <c r="V45" s="5">
        <f>#REF!</f>
        <v/>
      </c>
      <c r="W45" s="5">
        <f>#REF!</f>
        <v/>
      </c>
      <c r="X45" s="5">
        <f>#REF!</f>
        <v/>
      </c>
      <c r="Y45" s="5">
        <f>#REF!</f>
        <v/>
      </c>
      <c r="Z45" s="5">
        <f>#REF!</f>
        <v/>
      </c>
      <c r="AA45" s="6">
        <f>№1!Q50</f>
        <v/>
      </c>
      <c r="AB45" s="6">
        <f>#REF!</f>
        <v/>
      </c>
      <c r="AC45" s="6">
        <f>#REF!</f>
        <v/>
      </c>
      <c r="AD45" s="6">
        <f>#REF!</f>
        <v/>
      </c>
      <c r="AE45" s="6">
        <f>#REF!</f>
        <v/>
      </c>
      <c r="AF45" s="6">
        <f>#REF!</f>
        <v/>
      </c>
      <c r="AG45" s="6">
        <f>#REF!</f>
        <v/>
      </c>
      <c r="AH45" s="6">
        <f>#REF!</f>
        <v/>
      </c>
      <c r="AI45" s="5">
        <f>№1!S50</f>
        <v/>
      </c>
      <c r="AJ45" s="5">
        <f>#REF!</f>
        <v/>
      </c>
      <c r="AK45" s="5">
        <f>#REF!</f>
        <v/>
      </c>
      <c r="AL45" s="5">
        <f>#REF!</f>
        <v/>
      </c>
      <c r="AM45" s="5">
        <f>#REF!</f>
        <v/>
      </c>
      <c r="AN45" s="5">
        <f>#REF!</f>
        <v/>
      </c>
      <c r="AO45" s="5">
        <f>#REF!</f>
        <v/>
      </c>
      <c r="AP45" s="5">
        <f>#REF!</f>
        <v/>
      </c>
      <c r="AQ45" s="6">
        <f>№1!T50</f>
        <v/>
      </c>
      <c r="AR45" s="6">
        <f>#REF!</f>
        <v/>
      </c>
      <c r="AS45" s="6">
        <f>#REF!</f>
        <v/>
      </c>
      <c r="AT45" s="6">
        <f>#REF!</f>
        <v/>
      </c>
      <c r="AU45" s="6">
        <f>#REF!</f>
        <v/>
      </c>
      <c r="AV45" s="6">
        <f>#REF!</f>
        <v/>
      </c>
      <c r="AW45" s="6">
        <f>#REF!</f>
        <v/>
      </c>
      <c r="AX45" s="6">
        <f>#REF!</f>
        <v/>
      </c>
    </row>
    <row r="46">
      <c r="A46" s="4">
        <f>#REF!</f>
        <v/>
      </c>
      <c r="B46" s="4">
        <f>A46/1000000000</f>
        <v/>
      </c>
      <c r="C46" s="5">
        <f>№1!U51</f>
        <v/>
      </c>
      <c r="D46" s="5">
        <f>#REF!</f>
        <v/>
      </c>
      <c r="E46" s="5">
        <f>#REF!</f>
        <v/>
      </c>
      <c r="F46" s="5">
        <f>#REF!</f>
        <v/>
      </c>
      <c r="G46" s="5">
        <f>#REF!</f>
        <v/>
      </c>
      <c r="H46" s="5">
        <f>#REF!</f>
        <v/>
      </c>
      <c r="I46" s="5">
        <f>#REF!</f>
        <v/>
      </c>
      <c r="J46" s="5">
        <f>#REF!</f>
        <v/>
      </c>
      <c r="K46" s="6">
        <f>№1!P51</f>
        <v/>
      </c>
      <c r="L46" s="6">
        <f>#REF!</f>
        <v/>
      </c>
      <c r="M46" s="6">
        <f>#REF!</f>
        <v/>
      </c>
      <c r="N46" s="6">
        <f>#REF!</f>
        <v/>
      </c>
      <c r="O46" s="6">
        <f>#REF!</f>
        <v/>
      </c>
      <c r="P46" s="6">
        <f>#REF!</f>
        <v/>
      </c>
      <c r="Q46" s="6">
        <f>#REF!</f>
        <v/>
      </c>
      <c r="R46" s="6">
        <f>#REF!</f>
        <v/>
      </c>
      <c r="S46" s="5">
        <f>№1!R51</f>
        <v/>
      </c>
      <c r="T46" s="5">
        <f>#REF!</f>
        <v/>
      </c>
      <c r="U46" s="5">
        <f>#REF!</f>
        <v/>
      </c>
      <c r="V46" s="5">
        <f>#REF!</f>
        <v/>
      </c>
      <c r="W46" s="5">
        <f>#REF!</f>
        <v/>
      </c>
      <c r="X46" s="5">
        <f>#REF!</f>
        <v/>
      </c>
      <c r="Y46" s="5">
        <f>#REF!</f>
        <v/>
      </c>
      <c r="Z46" s="5">
        <f>#REF!</f>
        <v/>
      </c>
      <c r="AA46" s="6">
        <f>№1!Q51</f>
        <v/>
      </c>
      <c r="AB46" s="6">
        <f>#REF!</f>
        <v/>
      </c>
      <c r="AC46" s="6">
        <f>#REF!</f>
        <v/>
      </c>
      <c r="AD46" s="6">
        <f>#REF!</f>
        <v/>
      </c>
      <c r="AE46" s="6">
        <f>#REF!</f>
        <v/>
      </c>
      <c r="AF46" s="6">
        <f>#REF!</f>
        <v/>
      </c>
      <c r="AG46" s="6">
        <f>#REF!</f>
        <v/>
      </c>
      <c r="AH46" s="6">
        <f>#REF!</f>
        <v/>
      </c>
      <c r="AI46" s="5">
        <f>№1!S51</f>
        <v/>
      </c>
      <c r="AJ46" s="5">
        <f>#REF!</f>
        <v/>
      </c>
      <c r="AK46" s="5">
        <f>#REF!</f>
        <v/>
      </c>
      <c r="AL46" s="5">
        <f>#REF!</f>
        <v/>
      </c>
      <c r="AM46" s="5">
        <f>#REF!</f>
        <v/>
      </c>
      <c r="AN46" s="5">
        <f>#REF!</f>
        <v/>
      </c>
      <c r="AO46" s="5">
        <f>#REF!</f>
        <v/>
      </c>
      <c r="AP46" s="5">
        <f>#REF!</f>
        <v/>
      </c>
      <c r="AQ46" s="6">
        <f>№1!T51</f>
        <v/>
      </c>
      <c r="AR46" s="6">
        <f>#REF!</f>
        <v/>
      </c>
      <c r="AS46" s="6">
        <f>#REF!</f>
        <v/>
      </c>
      <c r="AT46" s="6">
        <f>#REF!</f>
        <v/>
      </c>
      <c r="AU46" s="6">
        <f>#REF!</f>
        <v/>
      </c>
      <c r="AV46" s="6">
        <f>#REF!</f>
        <v/>
      </c>
      <c r="AW46" s="6">
        <f>#REF!</f>
        <v/>
      </c>
      <c r="AX46" s="6">
        <f>#REF!</f>
        <v/>
      </c>
    </row>
    <row r="47">
      <c r="A47" s="3">
        <f>#REF!</f>
        <v/>
      </c>
      <c r="B47" s="4">
        <f>A47/1000000000</f>
        <v/>
      </c>
      <c r="C47" s="5">
        <f>№1!U52</f>
        <v/>
      </c>
      <c r="D47" s="5">
        <f>#REF!</f>
        <v/>
      </c>
      <c r="E47" s="5">
        <f>#REF!</f>
        <v/>
      </c>
      <c r="F47" s="5">
        <f>#REF!</f>
        <v/>
      </c>
      <c r="G47" s="5">
        <f>#REF!</f>
        <v/>
      </c>
      <c r="H47" s="5">
        <f>#REF!</f>
        <v/>
      </c>
      <c r="I47" s="5">
        <f>#REF!</f>
        <v/>
      </c>
      <c r="J47" s="5">
        <f>#REF!</f>
        <v/>
      </c>
      <c r="K47" s="6">
        <f>№1!P52</f>
        <v/>
      </c>
      <c r="L47" s="6">
        <f>#REF!</f>
        <v/>
      </c>
      <c r="M47" s="6">
        <f>#REF!</f>
        <v/>
      </c>
      <c r="N47" s="6">
        <f>#REF!</f>
        <v/>
      </c>
      <c r="O47" s="6">
        <f>#REF!</f>
        <v/>
      </c>
      <c r="P47" s="6">
        <f>#REF!</f>
        <v/>
      </c>
      <c r="Q47" s="6">
        <f>#REF!</f>
        <v/>
      </c>
      <c r="R47" s="6">
        <f>#REF!</f>
        <v/>
      </c>
      <c r="S47" s="5">
        <f>№1!R52</f>
        <v/>
      </c>
      <c r="T47" s="5">
        <f>#REF!</f>
        <v/>
      </c>
      <c r="U47" s="5">
        <f>#REF!</f>
        <v/>
      </c>
      <c r="V47" s="5">
        <f>#REF!</f>
        <v/>
      </c>
      <c r="W47" s="5">
        <f>#REF!</f>
        <v/>
      </c>
      <c r="X47" s="5">
        <f>#REF!</f>
        <v/>
      </c>
      <c r="Y47" s="5">
        <f>#REF!</f>
        <v/>
      </c>
      <c r="Z47" s="5">
        <f>#REF!</f>
        <v/>
      </c>
      <c r="AA47" s="6">
        <f>№1!Q52</f>
        <v/>
      </c>
      <c r="AB47" s="6">
        <f>#REF!</f>
        <v/>
      </c>
      <c r="AC47" s="6">
        <f>#REF!</f>
        <v/>
      </c>
      <c r="AD47" s="6">
        <f>#REF!</f>
        <v/>
      </c>
      <c r="AE47" s="6">
        <f>#REF!</f>
        <v/>
      </c>
      <c r="AF47" s="6">
        <f>#REF!</f>
        <v/>
      </c>
      <c r="AG47" s="6">
        <f>#REF!</f>
        <v/>
      </c>
      <c r="AH47" s="6">
        <f>#REF!</f>
        <v/>
      </c>
      <c r="AI47" s="5">
        <f>№1!S52</f>
        <v/>
      </c>
      <c r="AJ47" s="5">
        <f>#REF!</f>
        <v/>
      </c>
      <c r="AK47" s="5">
        <f>#REF!</f>
        <v/>
      </c>
      <c r="AL47" s="5">
        <f>#REF!</f>
        <v/>
      </c>
      <c r="AM47" s="5">
        <f>#REF!</f>
        <v/>
      </c>
      <c r="AN47" s="5">
        <f>#REF!</f>
        <v/>
      </c>
      <c r="AO47" s="5">
        <f>#REF!</f>
        <v/>
      </c>
      <c r="AP47" s="5">
        <f>#REF!</f>
        <v/>
      </c>
      <c r="AQ47" s="6">
        <f>№1!T52</f>
        <v/>
      </c>
      <c r="AR47" s="6">
        <f>#REF!</f>
        <v/>
      </c>
      <c r="AS47" s="6">
        <f>#REF!</f>
        <v/>
      </c>
      <c r="AT47" s="6">
        <f>#REF!</f>
        <v/>
      </c>
      <c r="AU47" s="6">
        <f>#REF!</f>
        <v/>
      </c>
      <c r="AV47" s="6">
        <f>#REF!</f>
        <v/>
      </c>
      <c r="AW47" s="6">
        <f>#REF!</f>
        <v/>
      </c>
      <c r="AX47" s="6">
        <f>#REF!</f>
        <v/>
      </c>
    </row>
    <row r="48">
      <c r="A48" s="4">
        <f>#REF!</f>
        <v/>
      </c>
      <c r="B48" s="4">
        <f>A48/1000000000</f>
        <v/>
      </c>
      <c r="C48" s="5">
        <f>№1!U53</f>
        <v/>
      </c>
      <c r="D48" s="5">
        <f>#REF!</f>
        <v/>
      </c>
      <c r="E48" s="5">
        <f>#REF!</f>
        <v/>
      </c>
      <c r="F48" s="5">
        <f>#REF!</f>
        <v/>
      </c>
      <c r="G48" s="5">
        <f>#REF!</f>
        <v/>
      </c>
      <c r="H48" s="5">
        <f>#REF!</f>
        <v/>
      </c>
      <c r="I48" s="5">
        <f>#REF!</f>
        <v/>
      </c>
      <c r="J48" s="5">
        <f>#REF!</f>
        <v/>
      </c>
      <c r="K48" s="6">
        <f>№1!P53</f>
        <v/>
      </c>
      <c r="L48" s="6">
        <f>#REF!</f>
        <v/>
      </c>
      <c r="M48" s="6">
        <f>#REF!</f>
        <v/>
      </c>
      <c r="N48" s="6">
        <f>#REF!</f>
        <v/>
      </c>
      <c r="O48" s="6">
        <f>#REF!</f>
        <v/>
      </c>
      <c r="P48" s="6">
        <f>#REF!</f>
        <v/>
      </c>
      <c r="Q48" s="6">
        <f>#REF!</f>
        <v/>
      </c>
      <c r="R48" s="6">
        <f>#REF!</f>
        <v/>
      </c>
      <c r="S48" s="5">
        <f>№1!R53</f>
        <v/>
      </c>
      <c r="T48" s="5">
        <f>#REF!</f>
        <v/>
      </c>
      <c r="U48" s="5">
        <f>#REF!</f>
        <v/>
      </c>
      <c r="V48" s="5">
        <f>#REF!</f>
        <v/>
      </c>
      <c r="W48" s="5">
        <f>#REF!</f>
        <v/>
      </c>
      <c r="X48" s="5">
        <f>#REF!</f>
        <v/>
      </c>
      <c r="Y48" s="5">
        <f>#REF!</f>
        <v/>
      </c>
      <c r="Z48" s="5">
        <f>#REF!</f>
        <v/>
      </c>
      <c r="AA48" s="6">
        <f>№1!Q53</f>
        <v/>
      </c>
      <c r="AB48" s="6">
        <f>#REF!</f>
        <v/>
      </c>
      <c r="AC48" s="6">
        <f>#REF!</f>
        <v/>
      </c>
      <c r="AD48" s="6">
        <f>#REF!</f>
        <v/>
      </c>
      <c r="AE48" s="6">
        <f>#REF!</f>
        <v/>
      </c>
      <c r="AF48" s="6">
        <f>#REF!</f>
        <v/>
      </c>
      <c r="AG48" s="6">
        <f>#REF!</f>
        <v/>
      </c>
      <c r="AH48" s="6">
        <f>#REF!</f>
        <v/>
      </c>
      <c r="AI48" s="5">
        <f>№1!S53</f>
        <v/>
      </c>
      <c r="AJ48" s="5">
        <f>#REF!</f>
        <v/>
      </c>
      <c r="AK48" s="5">
        <f>#REF!</f>
        <v/>
      </c>
      <c r="AL48" s="5">
        <f>#REF!</f>
        <v/>
      </c>
      <c r="AM48" s="5">
        <f>#REF!</f>
        <v/>
      </c>
      <c r="AN48" s="5">
        <f>#REF!</f>
        <v/>
      </c>
      <c r="AO48" s="5">
        <f>#REF!</f>
        <v/>
      </c>
      <c r="AP48" s="5">
        <f>#REF!</f>
        <v/>
      </c>
      <c r="AQ48" s="6">
        <f>№1!T53</f>
        <v/>
      </c>
      <c r="AR48" s="6">
        <f>#REF!</f>
        <v/>
      </c>
      <c r="AS48" s="6">
        <f>#REF!</f>
        <v/>
      </c>
      <c r="AT48" s="6">
        <f>#REF!</f>
        <v/>
      </c>
      <c r="AU48" s="6">
        <f>#REF!</f>
        <v/>
      </c>
      <c r="AV48" s="6">
        <f>#REF!</f>
        <v/>
      </c>
      <c r="AW48" s="6">
        <f>#REF!</f>
        <v/>
      </c>
      <c r="AX48" s="6">
        <f>#REF!</f>
        <v/>
      </c>
    </row>
    <row r="49">
      <c r="A49" s="3">
        <f>#REF!</f>
        <v/>
      </c>
      <c r="B49" s="4">
        <f>A49/1000000000</f>
        <v/>
      </c>
      <c r="C49" s="5">
        <f>№1!U54</f>
        <v/>
      </c>
      <c r="D49" s="5">
        <f>#REF!</f>
        <v/>
      </c>
      <c r="E49" s="5">
        <f>#REF!</f>
        <v/>
      </c>
      <c r="F49" s="5">
        <f>#REF!</f>
        <v/>
      </c>
      <c r="G49" s="5">
        <f>#REF!</f>
        <v/>
      </c>
      <c r="H49" s="5">
        <f>#REF!</f>
        <v/>
      </c>
      <c r="I49" s="5">
        <f>#REF!</f>
        <v/>
      </c>
      <c r="J49" s="5">
        <f>#REF!</f>
        <v/>
      </c>
      <c r="K49" s="6">
        <f>№1!P54</f>
        <v/>
      </c>
      <c r="L49" s="6">
        <f>#REF!</f>
        <v/>
      </c>
      <c r="M49" s="6">
        <f>#REF!</f>
        <v/>
      </c>
      <c r="N49" s="6">
        <f>#REF!</f>
        <v/>
      </c>
      <c r="O49" s="6">
        <f>#REF!</f>
        <v/>
      </c>
      <c r="P49" s="6">
        <f>#REF!</f>
        <v/>
      </c>
      <c r="Q49" s="6">
        <f>#REF!</f>
        <v/>
      </c>
      <c r="R49" s="6">
        <f>#REF!</f>
        <v/>
      </c>
      <c r="S49" s="5">
        <f>№1!R54</f>
        <v/>
      </c>
      <c r="T49" s="5">
        <f>#REF!</f>
        <v/>
      </c>
      <c r="U49" s="5">
        <f>#REF!</f>
        <v/>
      </c>
      <c r="V49" s="5">
        <f>#REF!</f>
        <v/>
      </c>
      <c r="W49" s="5">
        <f>#REF!</f>
        <v/>
      </c>
      <c r="X49" s="5">
        <f>#REF!</f>
        <v/>
      </c>
      <c r="Y49" s="5">
        <f>#REF!</f>
        <v/>
      </c>
      <c r="Z49" s="5">
        <f>#REF!</f>
        <v/>
      </c>
      <c r="AA49" s="6">
        <f>№1!Q54</f>
        <v/>
      </c>
      <c r="AB49" s="6">
        <f>#REF!</f>
        <v/>
      </c>
      <c r="AC49" s="6">
        <f>#REF!</f>
        <v/>
      </c>
      <c r="AD49" s="6">
        <f>#REF!</f>
        <v/>
      </c>
      <c r="AE49" s="6">
        <f>#REF!</f>
        <v/>
      </c>
      <c r="AF49" s="6">
        <f>#REF!</f>
        <v/>
      </c>
      <c r="AG49" s="6">
        <f>#REF!</f>
        <v/>
      </c>
      <c r="AH49" s="6">
        <f>#REF!</f>
        <v/>
      </c>
      <c r="AI49" s="5">
        <f>№1!S54</f>
        <v/>
      </c>
      <c r="AJ49" s="5">
        <f>#REF!</f>
        <v/>
      </c>
      <c r="AK49" s="5">
        <f>#REF!</f>
        <v/>
      </c>
      <c r="AL49" s="5">
        <f>#REF!</f>
        <v/>
      </c>
      <c r="AM49" s="5">
        <f>#REF!</f>
        <v/>
      </c>
      <c r="AN49" s="5">
        <f>#REF!</f>
        <v/>
      </c>
      <c r="AO49" s="5">
        <f>#REF!</f>
        <v/>
      </c>
      <c r="AP49" s="5">
        <f>#REF!</f>
        <v/>
      </c>
      <c r="AQ49" s="6">
        <f>№1!T54</f>
        <v/>
      </c>
      <c r="AR49" s="6">
        <f>#REF!</f>
        <v/>
      </c>
      <c r="AS49" s="6">
        <f>#REF!</f>
        <v/>
      </c>
      <c r="AT49" s="6">
        <f>#REF!</f>
        <v/>
      </c>
      <c r="AU49" s="6">
        <f>#REF!</f>
        <v/>
      </c>
      <c r="AV49" s="6">
        <f>#REF!</f>
        <v/>
      </c>
      <c r="AW49" s="6">
        <f>#REF!</f>
        <v/>
      </c>
      <c r="AX49" s="6">
        <f>#REF!</f>
        <v/>
      </c>
    </row>
    <row r="50">
      <c r="A50" s="4">
        <f>#REF!</f>
        <v/>
      </c>
      <c r="B50" s="4">
        <f>A50/1000000000</f>
        <v/>
      </c>
      <c r="C50" s="5">
        <f>№1!U55</f>
        <v/>
      </c>
      <c r="D50" s="5">
        <f>#REF!</f>
        <v/>
      </c>
      <c r="E50" s="5">
        <f>#REF!</f>
        <v/>
      </c>
      <c r="F50" s="5">
        <f>#REF!</f>
        <v/>
      </c>
      <c r="G50" s="5">
        <f>#REF!</f>
        <v/>
      </c>
      <c r="H50" s="5">
        <f>#REF!</f>
        <v/>
      </c>
      <c r="I50" s="5">
        <f>#REF!</f>
        <v/>
      </c>
      <c r="J50" s="5">
        <f>#REF!</f>
        <v/>
      </c>
      <c r="K50" s="6">
        <f>№1!P55</f>
        <v/>
      </c>
      <c r="L50" s="6">
        <f>#REF!</f>
        <v/>
      </c>
      <c r="M50" s="6">
        <f>#REF!</f>
        <v/>
      </c>
      <c r="N50" s="6">
        <f>#REF!</f>
        <v/>
      </c>
      <c r="O50" s="6">
        <f>#REF!</f>
        <v/>
      </c>
      <c r="P50" s="6">
        <f>#REF!</f>
        <v/>
      </c>
      <c r="Q50" s="6">
        <f>#REF!</f>
        <v/>
      </c>
      <c r="R50" s="6">
        <f>#REF!</f>
        <v/>
      </c>
      <c r="S50" s="5">
        <f>№1!R55</f>
        <v/>
      </c>
      <c r="T50" s="5">
        <f>#REF!</f>
        <v/>
      </c>
      <c r="U50" s="5">
        <f>#REF!</f>
        <v/>
      </c>
      <c r="V50" s="5">
        <f>#REF!</f>
        <v/>
      </c>
      <c r="W50" s="5">
        <f>#REF!</f>
        <v/>
      </c>
      <c r="X50" s="5">
        <f>#REF!</f>
        <v/>
      </c>
      <c r="Y50" s="5">
        <f>#REF!</f>
        <v/>
      </c>
      <c r="Z50" s="5">
        <f>#REF!</f>
        <v/>
      </c>
      <c r="AA50" s="6">
        <f>№1!Q55</f>
        <v/>
      </c>
      <c r="AB50" s="6">
        <f>#REF!</f>
        <v/>
      </c>
      <c r="AC50" s="6">
        <f>#REF!</f>
        <v/>
      </c>
      <c r="AD50" s="6">
        <f>#REF!</f>
        <v/>
      </c>
      <c r="AE50" s="6">
        <f>#REF!</f>
        <v/>
      </c>
      <c r="AF50" s="6">
        <f>#REF!</f>
        <v/>
      </c>
      <c r="AG50" s="6">
        <f>#REF!</f>
        <v/>
      </c>
      <c r="AH50" s="6">
        <f>#REF!</f>
        <v/>
      </c>
      <c r="AI50" s="5">
        <f>№1!S55</f>
        <v/>
      </c>
      <c r="AJ50" s="5">
        <f>#REF!</f>
        <v/>
      </c>
      <c r="AK50" s="5">
        <f>#REF!</f>
        <v/>
      </c>
      <c r="AL50" s="5">
        <f>#REF!</f>
        <v/>
      </c>
      <c r="AM50" s="5">
        <f>#REF!</f>
        <v/>
      </c>
      <c r="AN50" s="5">
        <f>#REF!</f>
        <v/>
      </c>
      <c r="AO50" s="5">
        <f>#REF!</f>
        <v/>
      </c>
      <c r="AP50" s="5">
        <f>#REF!</f>
        <v/>
      </c>
      <c r="AQ50" s="6">
        <f>№1!T55</f>
        <v/>
      </c>
      <c r="AR50" s="6">
        <f>#REF!</f>
        <v/>
      </c>
      <c r="AS50" s="6">
        <f>#REF!</f>
        <v/>
      </c>
      <c r="AT50" s="6">
        <f>#REF!</f>
        <v/>
      </c>
      <c r="AU50" s="6">
        <f>#REF!</f>
        <v/>
      </c>
      <c r="AV50" s="6">
        <f>#REF!</f>
        <v/>
      </c>
      <c r="AW50" s="6">
        <f>#REF!</f>
        <v/>
      </c>
      <c r="AX50" s="6">
        <f>#REF!</f>
        <v/>
      </c>
    </row>
    <row r="51">
      <c r="A51" s="3">
        <f>#REF!</f>
        <v/>
      </c>
      <c r="B51" s="4">
        <f>A51/1000000000</f>
        <v/>
      </c>
      <c r="C51" s="5">
        <f>№1!U56</f>
        <v/>
      </c>
      <c r="D51" s="5">
        <f>#REF!</f>
        <v/>
      </c>
      <c r="E51" s="5">
        <f>#REF!</f>
        <v/>
      </c>
      <c r="F51" s="5">
        <f>#REF!</f>
        <v/>
      </c>
      <c r="G51" s="5">
        <f>#REF!</f>
        <v/>
      </c>
      <c r="H51" s="5">
        <f>#REF!</f>
        <v/>
      </c>
      <c r="I51" s="5">
        <f>#REF!</f>
        <v/>
      </c>
      <c r="J51" s="5">
        <f>#REF!</f>
        <v/>
      </c>
      <c r="K51" s="6">
        <f>№1!P56</f>
        <v/>
      </c>
      <c r="L51" s="6">
        <f>#REF!</f>
        <v/>
      </c>
      <c r="M51" s="6">
        <f>#REF!</f>
        <v/>
      </c>
      <c r="N51" s="6">
        <f>#REF!</f>
        <v/>
      </c>
      <c r="O51" s="6">
        <f>#REF!</f>
        <v/>
      </c>
      <c r="P51" s="6">
        <f>#REF!</f>
        <v/>
      </c>
      <c r="Q51" s="6">
        <f>#REF!</f>
        <v/>
      </c>
      <c r="R51" s="6">
        <f>#REF!</f>
        <v/>
      </c>
      <c r="S51" s="5">
        <f>№1!R56</f>
        <v/>
      </c>
      <c r="T51" s="5">
        <f>#REF!</f>
        <v/>
      </c>
      <c r="U51" s="5">
        <f>#REF!</f>
        <v/>
      </c>
      <c r="V51" s="5">
        <f>#REF!</f>
        <v/>
      </c>
      <c r="W51" s="5">
        <f>#REF!</f>
        <v/>
      </c>
      <c r="X51" s="5">
        <f>#REF!</f>
        <v/>
      </c>
      <c r="Y51" s="5">
        <f>#REF!</f>
        <v/>
      </c>
      <c r="Z51" s="5">
        <f>#REF!</f>
        <v/>
      </c>
      <c r="AA51" s="6">
        <f>№1!Q56</f>
        <v/>
      </c>
      <c r="AB51" s="6">
        <f>#REF!</f>
        <v/>
      </c>
      <c r="AC51" s="6">
        <f>#REF!</f>
        <v/>
      </c>
      <c r="AD51" s="6">
        <f>#REF!</f>
        <v/>
      </c>
      <c r="AE51" s="6">
        <f>#REF!</f>
        <v/>
      </c>
      <c r="AF51" s="6">
        <f>#REF!</f>
        <v/>
      </c>
      <c r="AG51" s="6">
        <f>#REF!</f>
        <v/>
      </c>
      <c r="AH51" s="6">
        <f>#REF!</f>
        <v/>
      </c>
      <c r="AI51" s="5">
        <f>№1!S56</f>
        <v/>
      </c>
      <c r="AJ51" s="5">
        <f>#REF!</f>
        <v/>
      </c>
      <c r="AK51" s="5">
        <f>#REF!</f>
        <v/>
      </c>
      <c r="AL51" s="5">
        <f>#REF!</f>
        <v/>
      </c>
      <c r="AM51" s="5">
        <f>#REF!</f>
        <v/>
      </c>
      <c r="AN51" s="5">
        <f>#REF!</f>
        <v/>
      </c>
      <c r="AO51" s="5">
        <f>#REF!</f>
        <v/>
      </c>
      <c r="AP51" s="5">
        <f>#REF!</f>
        <v/>
      </c>
      <c r="AQ51" s="6">
        <f>№1!T56</f>
        <v/>
      </c>
      <c r="AR51" s="6">
        <f>#REF!</f>
        <v/>
      </c>
      <c r="AS51" s="6">
        <f>#REF!</f>
        <v/>
      </c>
      <c r="AT51" s="6">
        <f>#REF!</f>
        <v/>
      </c>
      <c r="AU51" s="6">
        <f>#REF!</f>
        <v/>
      </c>
      <c r="AV51" s="6">
        <f>#REF!</f>
        <v/>
      </c>
      <c r="AW51" s="6">
        <f>#REF!</f>
        <v/>
      </c>
      <c r="AX51" s="6">
        <f>#REF!</f>
        <v/>
      </c>
    </row>
    <row r="52">
      <c r="A52" s="4">
        <f>#REF!</f>
        <v/>
      </c>
      <c r="B52" s="4">
        <f>A52/1000000000</f>
        <v/>
      </c>
      <c r="C52" s="5">
        <f>№1!U57</f>
        <v/>
      </c>
      <c r="D52" s="5">
        <f>#REF!</f>
        <v/>
      </c>
      <c r="E52" s="5">
        <f>#REF!</f>
        <v/>
      </c>
      <c r="F52" s="5">
        <f>#REF!</f>
        <v/>
      </c>
      <c r="G52" s="5">
        <f>#REF!</f>
        <v/>
      </c>
      <c r="H52" s="5">
        <f>#REF!</f>
        <v/>
      </c>
      <c r="I52" s="5">
        <f>#REF!</f>
        <v/>
      </c>
      <c r="J52" s="5">
        <f>#REF!</f>
        <v/>
      </c>
      <c r="K52" s="6">
        <f>№1!P57</f>
        <v/>
      </c>
      <c r="L52" s="6">
        <f>#REF!</f>
        <v/>
      </c>
      <c r="M52" s="6">
        <f>#REF!</f>
        <v/>
      </c>
      <c r="N52" s="6">
        <f>#REF!</f>
        <v/>
      </c>
      <c r="O52" s="6">
        <f>#REF!</f>
        <v/>
      </c>
      <c r="P52" s="6">
        <f>#REF!</f>
        <v/>
      </c>
      <c r="Q52" s="6">
        <f>#REF!</f>
        <v/>
      </c>
      <c r="R52" s="6">
        <f>#REF!</f>
        <v/>
      </c>
      <c r="S52" s="5">
        <f>№1!R57</f>
        <v/>
      </c>
      <c r="T52" s="5">
        <f>#REF!</f>
        <v/>
      </c>
      <c r="U52" s="5">
        <f>#REF!</f>
        <v/>
      </c>
      <c r="V52" s="5">
        <f>#REF!</f>
        <v/>
      </c>
      <c r="W52" s="5">
        <f>#REF!</f>
        <v/>
      </c>
      <c r="X52" s="5">
        <f>#REF!</f>
        <v/>
      </c>
      <c r="Y52" s="5">
        <f>#REF!</f>
        <v/>
      </c>
      <c r="Z52" s="5">
        <f>#REF!</f>
        <v/>
      </c>
      <c r="AA52" s="6">
        <f>№1!Q57</f>
        <v/>
      </c>
      <c r="AB52" s="6">
        <f>#REF!</f>
        <v/>
      </c>
      <c r="AC52" s="6">
        <f>#REF!</f>
        <v/>
      </c>
      <c r="AD52" s="6">
        <f>#REF!</f>
        <v/>
      </c>
      <c r="AE52" s="6">
        <f>#REF!</f>
        <v/>
      </c>
      <c r="AF52" s="6">
        <f>#REF!</f>
        <v/>
      </c>
      <c r="AG52" s="6">
        <f>#REF!</f>
        <v/>
      </c>
      <c r="AH52" s="6">
        <f>#REF!</f>
        <v/>
      </c>
      <c r="AI52" s="5">
        <f>№1!S57</f>
        <v/>
      </c>
      <c r="AJ52" s="5">
        <f>#REF!</f>
        <v/>
      </c>
      <c r="AK52" s="5">
        <f>#REF!</f>
        <v/>
      </c>
      <c r="AL52" s="5">
        <f>#REF!</f>
        <v/>
      </c>
      <c r="AM52" s="5">
        <f>#REF!</f>
        <v/>
      </c>
      <c r="AN52" s="5">
        <f>#REF!</f>
        <v/>
      </c>
      <c r="AO52" s="5">
        <f>#REF!</f>
        <v/>
      </c>
      <c r="AP52" s="5">
        <f>#REF!</f>
        <v/>
      </c>
      <c r="AQ52" s="6">
        <f>№1!T57</f>
        <v/>
      </c>
      <c r="AR52" s="6">
        <f>#REF!</f>
        <v/>
      </c>
      <c r="AS52" s="6">
        <f>#REF!</f>
        <v/>
      </c>
      <c r="AT52" s="6">
        <f>#REF!</f>
        <v/>
      </c>
      <c r="AU52" s="6">
        <f>#REF!</f>
        <v/>
      </c>
      <c r="AV52" s="6">
        <f>#REF!</f>
        <v/>
      </c>
      <c r="AW52" s="6">
        <f>#REF!</f>
        <v/>
      </c>
      <c r="AX52" s="6">
        <f>#REF!</f>
        <v/>
      </c>
    </row>
    <row r="53">
      <c r="A53" s="3">
        <f>#REF!</f>
        <v/>
      </c>
      <c r="B53" s="4">
        <f>A53/1000000000</f>
        <v/>
      </c>
      <c r="C53" s="5">
        <f>№1!U58</f>
        <v/>
      </c>
      <c r="D53" s="5">
        <f>#REF!</f>
        <v/>
      </c>
      <c r="E53" s="5">
        <f>#REF!</f>
        <v/>
      </c>
      <c r="F53" s="5">
        <f>#REF!</f>
        <v/>
      </c>
      <c r="G53" s="5">
        <f>#REF!</f>
        <v/>
      </c>
      <c r="H53" s="5">
        <f>#REF!</f>
        <v/>
      </c>
      <c r="I53" s="5">
        <f>#REF!</f>
        <v/>
      </c>
      <c r="J53" s="5">
        <f>#REF!</f>
        <v/>
      </c>
      <c r="K53" s="6">
        <f>№1!P58</f>
        <v/>
      </c>
      <c r="L53" s="6">
        <f>#REF!</f>
        <v/>
      </c>
      <c r="M53" s="6">
        <f>#REF!</f>
        <v/>
      </c>
      <c r="N53" s="6">
        <f>#REF!</f>
        <v/>
      </c>
      <c r="O53" s="6">
        <f>#REF!</f>
        <v/>
      </c>
      <c r="P53" s="6">
        <f>#REF!</f>
        <v/>
      </c>
      <c r="Q53" s="6">
        <f>#REF!</f>
        <v/>
      </c>
      <c r="R53" s="6">
        <f>#REF!</f>
        <v/>
      </c>
      <c r="S53" s="5">
        <f>№1!R58</f>
        <v/>
      </c>
      <c r="T53" s="5">
        <f>#REF!</f>
        <v/>
      </c>
      <c r="U53" s="5">
        <f>#REF!</f>
        <v/>
      </c>
      <c r="V53" s="5">
        <f>#REF!</f>
        <v/>
      </c>
      <c r="W53" s="5">
        <f>#REF!</f>
        <v/>
      </c>
      <c r="X53" s="5">
        <f>#REF!</f>
        <v/>
      </c>
      <c r="Y53" s="5">
        <f>#REF!</f>
        <v/>
      </c>
      <c r="Z53" s="5">
        <f>#REF!</f>
        <v/>
      </c>
      <c r="AA53" s="6">
        <f>№1!Q58</f>
        <v/>
      </c>
      <c r="AB53" s="6">
        <f>#REF!</f>
        <v/>
      </c>
      <c r="AC53" s="6">
        <f>#REF!</f>
        <v/>
      </c>
      <c r="AD53" s="6">
        <f>#REF!</f>
        <v/>
      </c>
      <c r="AE53" s="6">
        <f>#REF!</f>
        <v/>
      </c>
      <c r="AF53" s="6">
        <f>#REF!</f>
        <v/>
      </c>
      <c r="AG53" s="6">
        <f>#REF!</f>
        <v/>
      </c>
      <c r="AH53" s="6">
        <f>#REF!</f>
        <v/>
      </c>
      <c r="AI53" s="5">
        <f>№1!S58</f>
        <v/>
      </c>
      <c r="AJ53" s="5">
        <f>#REF!</f>
        <v/>
      </c>
      <c r="AK53" s="5">
        <f>#REF!</f>
        <v/>
      </c>
      <c r="AL53" s="5">
        <f>#REF!</f>
        <v/>
      </c>
      <c r="AM53" s="5">
        <f>#REF!</f>
        <v/>
      </c>
      <c r="AN53" s="5">
        <f>#REF!</f>
        <v/>
      </c>
      <c r="AO53" s="5">
        <f>#REF!</f>
        <v/>
      </c>
      <c r="AP53" s="5">
        <f>#REF!</f>
        <v/>
      </c>
      <c r="AQ53" s="6">
        <f>№1!T58</f>
        <v/>
      </c>
      <c r="AR53" s="6">
        <f>#REF!</f>
        <v/>
      </c>
      <c r="AS53" s="6">
        <f>#REF!</f>
        <v/>
      </c>
      <c r="AT53" s="6">
        <f>#REF!</f>
        <v/>
      </c>
      <c r="AU53" s="6">
        <f>#REF!</f>
        <v/>
      </c>
      <c r="AV53" s="6">
        <f>#REF!</f>
        <v/>
      </c>
      <c r="AW53" s="6">
        <f>#REF!</f>
        <v/>
      </c>
      <c r="AX53" s="6">
        <f>#REF!</f>
        <v/>
      </c>
    </row>
    <row r="54">
      <c r="A54" s="4">
        <f>#REF!</f>
        <v/>
      </c>
      <c r="B54" s="4">
        <f>A54/1000000000</f>
        <v/>
      </c>
      <c r="C54" s="5">
        <f>№1!U59</f>
        <v/>
      </c>
      <c r="D54" s="5">
        <f>#REF!</f>
        <v/>
      </c>
      <c r="E54" s="5">
        <f>#REF!</f>
        <v/>
      </c>
      <c r="F54" s="5">
        <f>#REF!</f>
        <v/>
      </c>
      <c r="G54" s="5">
        <f>#REF!</f>
        <v/>
      </c>
      <c r="H54" s="5">
        <f>#REF!</f>
        <v/>
      </c>
      <c r="I54" s="5">
        <f>#REF!</f>
        <v/>
      </c>
      <c r="J54" s="5">
        <f>#REF!</f>
        <v/>
      </c>
      <c r="K54" s="6">
        <f>№1!P59</f>
        <v/>
      </c>
      <c r="L54" s="6">
        <f>#REF!</f>
        <v/>
      </c>
      <c r="M54" s="6">
        <f>#REF!</f>
        <v/>
      </c>
      <c r="N54" s="6">
        <f>#REF!</f>
        <v/>
      </c>
      <c r="O54" s="6">
        <f>#REF!</f>
        <v/>
      </c>
      <c r="P54" s="6">
        <f>#REF!</f>
        <v/>
      </c>
      <c r="Q54" s="6">
        <f>#REF!</f>
        <v/>
      </c>
      <c r="R54" s="6">
        <f>#REF!</f>
        <v/>
      </c>
      <c r="S54" s="5">
        <f>№1!R59</f>
        <v/>
      </c>
      <c r="T54" s="5">
        <f>#REF!</f>
        <v/>
      </c>
      <c r="U54" s="5">
        <f>#REF!</f>
        <v/>
      </c>
      <c r="V54" s="5">
        <f>#REF!</f>
        <v/>
      </c>
      <c r="W54" s="5">
        <f>#REF!</f>
        <v/>
      </c>
      <c r="X54" s="5">
        <f>#REF!</f>
        <v/>
      </c>
      <c r="Y54" s="5">
        <f>#REF!</f>
        <v/>
      </c>
      <c r="Z54" s="5">
        <f>#REF!</f>
        <v/>
      </c>
      <c r="AA54" s="6">
        <f>№1!Q59</f>
        <v/>
      </c>
      <c r="AB54" s="6">
        <f>#REF!</f>
        <v/>
      </c>
      <c r="AC54" s="6">
        <f>#REF!</f>
        <v/>
      </c>
      <c r="AD54" s="6">
        <f>#REF!</f>
        <v/>
      </c>
      <c r="AE54" s="6">
        <f>#REF!</f>
        <v/>
      </c>
      <c r="AF54" s="6">
        <f>#REF!</f>
        <v/>
      </c>
      <c r="AG54" s="6">
        <f>#REF!</f>
        <v/>
      </c>
      <c r="AH54" s="6">
        <f>#REF!</f>
        <v/>
      </c>
      <c r="AI54" s="5">
        <f>№1!S59</f>
        <v/>
      </c>
      <c r="AJ54" s="5">
        <f>#REF!</f>
        <v/>
      </c>
      <c r="AK54" s="5">
        <f>#REF!</f>
        <v/>
      </c>
      <c r="AL54" s="5">
        <f>#REF!</f>
        <v/>
      </c>
      <c r="AM54" s="5">
        <f>#REF!</f>
        <v/>
      </c>
      <c r="AN54" s="5">
        <f>#REF!</f>
        <v/>
      </c>
      <c r="AO54" s="5">
        <f>#REF!</f>
        <v/>
      </c>
      <c r="AP54" s="5">
        <f>#REF!</f>
        <v/>
      </c>
      <c r="AQ54" s="6">
        <f>№1!T59</f>
        <v/>
      </c>
      <c r="AR54" s="6">
        <f>#REF!</f>
        <v/>
      </c>
      <c r="AS54" s="6">
        <f>#REF!</f>
        <v/>
      </c>
      <c r="AT54" s="6">
        <f>#REF!</f>
        <v/>
      </c>
      <c r="AU54" s="6">
        <f>#REF!</f>
        <v/>
      </c>
      <c r="AV54" s="6">
        <f>#REF!</f>
        <v/>
      </c>
      <c r="AW54" s="6">
        <f>#REF!</f>
        <v/>
      </c>
      <c r="AX54" s="6">
        <f>#REF!</f>
        <v/>
      </c>
    </row>
    <row r="55">
      <c r="A55" s="3">
        <f>#REF!</f>
        <v/>
      </c>
      <c r="B55" s="4">
        <f>A55/1000000000</f>
        <v/>
      </c>
      <c r="C55" s="5">
        <f>№1!U60</f>
        <v/>
      </c>
      <c r="D55" s="5">
        <f>#REF!</f>
        <v/>
      </c>
      <c r="E55" s="5">
        <f>#REF!</f>
        <v/>
      </c>
      <c r="F55" s="5">
        <f>#REF!</f>
        <v/>
      </c>
      <c r="G55" s="5">
        <f>#REF!</f>
        <v/>
      </c>
      <c r="H55" s="5">
        <f>#REF!</f>
        <v/>
      </c>
      <c r="I55" s="5">
        <f>#REF!</f>
        <v/>
      </c>
      <c r="J55" s="5">
        <f>#REF!</f>
        <v/>
      </c>
      <c r="K55" s="6">
        <f>№1!P60</f>
        <v/>
      </c>
      <c r="L55" s="6">
        <f>#REF!</f>
        <v/>
      </c>
      <c r="M55" s="6">
        <f>#REF!</f>
        <v/>
      </c>
      <c r="N55" s="6">
        <f>#REF!</f>
        <v/>
      </c>
      <c r="O55" s="6">
        <f>#REF!</f>
        <v/>
      </c>
      <c r="P55" s="6">
        <f>#REF!</f>
        <v/>
      </c>
      <c r="Q55" s="6">
        <f>#REF!</f>
        <v/>
      </c>
      <c r="R55" s="6">
        <f>#REF!</f>
        <v/>
      </c>
      <c r="S55" s="5">
        <f>№1!R60</f>
        <v/>
      </c>
      <c r="T55" s="5">
        <f>#REF!</f>
        <v/>
      </c>
      <c r="U55" s="5">
        <f>#REF!</f>
        <v/>
      </c>
      <c r="V55" s="5">
        <f>#REF!</f>
        <v/>
      </c>
      <c r="W55" s="5">
        <f>#REF!</f>
        <v/>
      </c>
      <c r="X55" s="5">
        <f>#REF!</f>
        <v/>
      </c>
      <c r="Y55" s="5">
        <f>#REF!</f>
        <v/>
      </c>
      <c r="Z55" s="5">
        <f>#REF!</f>
        <v/>
      </c>
      <c r="AA55" s="6">
        <f>№1!Q60</f>
        <v/>
      </c>
      <c r="AB55" s="6">
        <f>#REF!</f>
        <v/>
      </c>
      <c r="AC55" s="6">
        <f>#REF!</f>
        <v/>
      </c>
      <c r="AD55" s="6">
        <f>#REF!</f>
        <v/>
      </c>
      <c r="AE55" s="6">
        <f>#REF!</f>
        <v/>
      </c>
      <c r="AF55" s="6">
        <f>#REF!</f>
        <v/>
      </c>
      <c r="AG55" s="6">
        <f>#REF!</f>
        <v/>
      </c>
      <c r="AH55" s="6">
        <f>#REF!</f>
        <v/>
      </c>
      <c r="AI55" s="5">
        <f>№1!S60</f>
        <v/>
      </c>
      <c r="AJ55" s="5">
        <f>#REF!</f>
        <v/>
      </c>
      <c r="AK55" s="5">
        <f>#REF!</f>
        <v/>
      </c>
      <c r="AL55" s="5">
        <f>#REF!</f>
        <v/>
      </c>
      <c r="AM55" s="5">
        <f>#REF!</f>
        <v/>
      </c>
      <c r="AN55" s="5">
        <f>#REF!</f>
        <v/>
      </c>
      <c r="AO55" s="5">
        <f>#REF!</f>
        <v/>
      </c>
      <c r="AP55" s="5">
        <f>#REF!</f>
        <v/>
      </c>
      <c r="AQ55" s="6">
        <f>№1!T60</f>
        <v/>
      </c>
      <c r="AR55" s="6">
        <f>#REF!</f>
        <v/>
      </c>
      <c r="AS55" s="6">
        <f>#REF!</f>
        <v/>
      </c>
      <c r="AT55" s="6">
        <f>#REF!</f>
        <v/>
      </c>
      <c r="AU55" s="6">
        <f>#REF!</f>
        <v/>
      </c>
      <c r="AV55" s="6">
        <f>#REF!</f>
        <v/>
      </c>
      <c r="AW55" s="6">
        <f>#REF!</f>
        <v/>
      </c>
      <c r="AX55" s="6">
        <f>#REF!</f>
        <v/>
      </c>
    </row>
    <row r="56">
      <c r="A56" s="4">
        <f>#REF!</f>
        <v/>
      </c>
      <c r="B56" s="4">
        <f>A56/1000000000</f>
        <v/>
      </c>
      <c r="C56" s="5">
        <f>№1!U61</f>
        <v/>
      </c>
      <c r="D56" s="5">
        <f>#REF!</f>
        <v/>
      </c>
      <c r="E56" s="5">
        <f>#REF!</f>
        <v/>
      </c>
      <c r="F56" s="5">
        <f>#REF!</f>
        <v/>
      </c>
      <c r="G56" s="5">
        <f>#REF!</f>
        <v/>
      </c>
      <c r="H56" s="5">
        <f>#REF!</f>
        <v/>
      </c>
      <c r="I56" s="5">
        <f>#REF!</f>
        <v/>
      </c>
      <c r="J56" s="5">
        <f>#REF!</f>
        <v/>
      </c>
      <c r="K56" s="6">
        <f>№1!P61</f>
        <v/>
      </c>
      <c r="L56" s="6">
        <f>#REF!</f>
        <v/>
      </c>
      <c r="M56" s="6">
        <f>#REF!</f>
        <v/>
      </c>
      <c r="N56" s="6">
        <f>#REF!</f>
        <v/>
      </c>
      <c r="O56" s="6">
        <f>#REF!</f>
        <v/>
      </c>
      <c r="P56" s="6">
        <f>#REF!</f>
        <v/>
      </c>
      <c r="Q56" s="6">
        <f>#REF!</f>
        <v/>
      </c>
      <c r="R56" s="6">
        <f>#REF!</f>
        <v/>
      </c>
      <c r="S56" s="5">
        <f>№1!R61</f>
        <v/>
      </c>
      <c r="T56" s="5">
        <f>#REF!</f>
        <v/>
      </c>
      <c r="U56" s="5">
        <f>#REF!</f>
        <v/>
      </c>
      <c r="V56" s="5">
        <f>#REF!</f>
        <v/>
      </c>
      <c r="W56" s="5">
        <f>#REF!</f>
        <v/>
      </c>
      <c r="X56" s="5">
        <f>#REF!</f>
        <v/>
      </c>
      <c r="Y56" s="5">
        <f>#REF!</f>
        <v/>
      </c>
      <c r="Z56" s="5">
        <f>#REF!</f>
        <v/>
      </c>
      <c r="AA56" s="6">
        <f>№1!Q61</f>
        <v/>
      </c>
      <c r="AB56" s="6">
        <f>#REF!</f>
        <v/>
      </c>
      <c r="AC56" s="6">
        <f>#REF!</f>
        <v/>
      </c>
      <c r="AD56" s="6">
        <f>#REF!</f>
        <v/>
      </c>
      <c r="AE56" s="6">
        <f>#REF!</f>
        <v/>
      </c>
      <c r="AF56" s="6">
        <f>#REF!</f>
        <v/>
      </c>
      <c r="AG56" s="6">
        <f>#REF!</f>
        <v/>
      </c>
      <c r="AH56" s="6">
        <f>#REF!</f>
        <v/>
      </c>
      <c r="AI56" s="5">
        <f>№1!S61</f>
        <v/>
      </c>
      <c r="AJ56" s="5">
        <f>#REF!</f>
        <v/>
      </c>
      <c r="AK56" s="5">
        <f>#REF!</f>
        <v/>
      </c>
      <c r="AL56" s="5">
        <f>#REF!</f>
        <v/>
      </c>
      <c r="AM56" s="5">
        <f>#REF!</f>
        <v/>
      </c>
      <c r="AN56" s="5">
        <f>#REF!</f>
        <v/>
      </c>
      <c r="AO56" s="5">
        <f>#REF!</f>
        <v/>
      </c>
      <c r="AP56" s="5">
        <f>#REF!</f>
        <v/>
      </c>
      <c r="AQ56" s="6">
        <f>№1!T61</f>
        <v/>
      </c>
      <c r="AR56" s="6">
        <f>#REF!</f>
        <v/>
      </c>
      <c r="AS56" s="6">
        <f>#REF!</f>
        <v/>
      </c>
      <c r="AT56" s="6">
        <f>#REF!</f>
        <v/>
      </c>
      <c r="AU56" s="6">
        <f>#REF!</f>
        <v/>
      </c>
      <c r="AV56" s="6">
        <f>#REF!</f>
        <v/>
      </c>
      <c r="AW56" s="6">
        <f>#REF!</f>
        <v/>
      </c>
      <c r="AX56" s="6">
        <f>#REF!</f>
        <v/>
      </c>
    </row>
    <row r="57">
      <c r="A57" s="3">
        <f>#REF!</f>
        <v/>
      </c>
      <c r="B57" s="4">
        <f>A57/1000000000</f>
        <v/>
      </c>
      <c r="C57" s="5">
        <f>№1!U62</f>
        <v/>
      </c>
      <c r="D57" s="5">
        <f>#REF!</f>
        <v/>
      </c>
      <c r="E57" s="5">
        <f>#REF!</f>
        <v/>
      </c>
      <c r="F57" s="5">
        <f>#REF!</f>
        <v/>
      </c>
      <c r="G57" s="5">
        <f>#REF!</f>
        <v/>
      </c>
      <c r="H57" s="5">
        <f>#REF!</f>
        <v/>
      </c>
      <c r="I57" s="5">
        <f>#REF!</f>
        <v/>
      </c>
      <c r="J57" s="5">
        <f>#REF!</f>
        <v/>
      </c>
      <c r="K57" s="6">
        <f>№1!P62</f>
        <v/>
      </c>
      <c r="L57" s="6">
        <f>#REF!</f>
        <v/>
      </c>
      <c r="M57" s="6">
        <f>#REF!</f>
        <v/>
      </c>
      <c r="N57" s="6">
        <f>#REF!</f>
        <v/>
      </c>
      <c r="O57" s="6">
        <f>#REF!</f>
        <v/>
      </c>
      <c r="P57" s="6">
        <f>#REF!</f>
        <v/>
      </c>
      <c r="Q57" s="6">
        <f>#REF!</f>
        <v/>
      </c>
      <c r="R57" s="6">
        <f>#REF!</f>
        <v/>
      </c>
      <c r="S57" s="5">
        <f>№1!R62</f>
        <v/>
      </c>
      <c r="T57" s="5">
        <f>#REF!</f>
        <v/>
      </c>
      <c r="U57" s="5">
        <f>#REF!</f>
        <v/>
      </c>
      <c r="V57" s="5">
        <f>#REF!</f>
        <v/>
      </c>
      <c r="W57" s="5">
        <f>#REF!</f>
        <v/>
      </c>
      <c r="X57" s="5">
        <f>#REF!</f>
        <v/>
      </c>
      <c r="Y57" s="5">
        <f>#REF!</f>
        <v/>
      </c>
      <c r="Z57" s="5">
        <f>#REF!</f>
        <v/>
      </c>
      <c r="AA57" s="6">
        <f>№1!Q62</f>
        <v/>
      </c>
      <c r="AB57" s="6">
        <f>#REF!</f>
        <v/>
      </c>
      <c r="AC57" s="6">
        <f>#REF!</f>
        <v/>
      </c>
      <c r="AD57" s="6">
        <f>#REF!</f>
        <v/>
      </c>
      <c r="AE57" s="6">
        <f>#REF!</f>
        <v/>
      </c>
      <c r="AF57" s="6">
        <f>#REF!</f>
        <v/>
      </c>
      <c r="AG57" s="6">
        <f>#REF!</f>
        <v/>
      </c>
      <c r="AH57" s="6">
        <f>#REF!</f>
        <v/>
      </c>
      <c r="AI57" s="5">
        <f>№1!S62</f>
        <v/>
      </c>
      <c r="AJ57" s="5">
        <f>#REF!</f>
        <v/>
      </c>
      <c r="AK57" s="5">
        <f>#REF!</f>
        <v/>
      </c>
      <c r="AL57" s="5">
        <f>#REF!</f>
        <v/>
      </c>
      <c r="AM57" s="5">
        <f>#REF!</f>
        <v/>
      </c>
      <c r="AN57" s="5">
        <f>#REF!</f>
        <v/>
      </c>
      <c r="AO57" s="5">
        <f>#REF!</f>
        <v/>
      </c>
      <c r="AP57" s="5">
        <f>#REF!</f>
        <v/>
      </c>
      <c r="AQ57" s="6">
        <f>№1!T62</f>
        <v/>
      </c>
      <c r="AR57" s="6">
        <f>#REF!</f>
        <v/>
      </c>
      <c r="AS57" s="6">
        <f>#REF!</f>
        <v/>
      </c>
      <c r="AT57" s="6">
        <f>#REF!</f>
        <v/>
      </c>
      <c r="AU57" s="6">
        <f>#REF!</f>
        <v/>
      </c>
      <c r="AV57" s="6">
        <f>#REF!</f>
        <v/>
      </c>
      <c r="AW57" s="6">
        <f>#REF!</f>
        <v/>
      </c>
      <c r="AX57" s="6">
        <f>#REF!</f>
        <v/>
      </c>
    </row>
    <row r="58">
      <c r="A58" s="4">
        <f>#REF!</f>
        <v/>
      </c>
      <c r="B58" s="4">
        <f>A58/1000000000</f>
        <v/>
      </c>
      <c r="C58" s="5">
        <f>№1!U63</f>
        <v/>
      </c>
      <c r="D58" s="5">
        <f>#REF!</f>
        <v/>
      </c>
      <c r="E58" s="5">
        <f>#REF!</f>
        <v/>
      </c>
      <c r="F58" s="5">
        <f>#REF!</f>
        <v/>
      </c>
      <c r="G58" s="5">
        <f>#REF!</f>
        <v/>
      </c>
      <c r="H58" s="5">
        <f>#REF!</f>
        <v/>
      </c>
      <c r="I58" s="5">
        <f>#REF!</f>
        <v/>
      </c>
      <c r="J58" s="5">
        <f>#REF!</f>
        <v/>
      </c>
      <c r="K58" s="6">
        <f>№1!P63</f>
        <v/>
      </c>
      <c r="L58" s="6">
        <f>#REF!</f>
        <v/>
      </c>
      <c r="M58" s="6">
        <f>#REF!</f>
        <v/>
      </c>
      <c r="N58" s="6">
        <f>#REF!</f>
        <v/>
      </c>
      <c r="O58" s="6">
        <f>#REF!</f>
        <v/>
      </c>
      <c r="P58" s="6">
        <f>#REF!</f>
        <v/>
      </c>
      <c r="Q58" s="6">
        <f>#REF!</f>
        <v/>
      </c>
      <c r="R58" s="6">
        <f>#REF!</f>
        <v/>
      </c>
      <c r="S58" s="5">
        <f>№1!R63</f>
        <v/>
      </c>
      <c r="T58" s="5">
        <f>#REF!</f>
        <v/>
      </c>
      <c r="U58" s="5">
        <f>#REF!</f>
        <v/>
      </c>
      <c r="V58" s="5">
        <f>#REF!</f>
        <v/>
      </c>
      <c r="W58" s="5">
        <f>#REF!</f>
        <v/>
      </c>
      <c r="X58" s="5">
        <f>#REF!</f>
        <v/>
      </c>
      <c r="Y58" s="5">
        <f>#REF!</f>
        <v/>
      </c>
      <c r="Z58" s="5">
        <f>#REF!</f>
        <v/>
      </c>
      <c r="AA58" s="6">
        <f>№1!Q63</f>
        <v/>
      </c>
      <c r="AB58" s="6">
        <f>#REF!</f>
        <v/>
      </c>
      <c r="AC58" s="6">
        <f>#REF!</f>
        <v/>
      </c>
      <c r="AD58" s="6">
        <f>#REF!</f>
        <v/>
      </c>
      <c r="AE58" s="6">
        <f>#REF!</f>
        <v/>
      </c>
      <c r="AF58" s="6">
        <f>#REF!</f>
        <v/>
      </c>
      <c r="AG58" s="6">
        <f>#REF!</f>
        <v/>
      </c>
      <c r="AH58" s="6">
        <f>#REF!</f>
        <v/>
      </c>
      <c r="AI58" s="5">
        <f>№1!S63</f>
        <v/>
      </c>
      <c r="AJ58" s="5">
        <f>#REF!</f>
        <v/>
      </c>
      <c r="AK58" s="5">
        <f>#REF!</f>
        <v/>
      </c>
      <c r="AL58" s="5">
        <f>#REF!</f>
        <v/>
      </c>
      <c r="AM58" s="5">
        <f>#REF!</f>
        <v/>
      </c>
      <c r="AN58" s="5">
        <f>#REF!</f>
        <v/>
      </c>
      <c r="AO58" s="5">
        <f>#REF!</f>
        <v/>
      </c>
      <c r="AP58" s="5">
        <f>#REF!</f>
        <v/>
      </c>
      <c r="AQ58" s="6">
        <f>№1!T63</f>
        <v/>
      </c>
      <c r="AR58" s="6">
        <f>#REF!</f>
        <v/>
      </c>
      <c r="AS58" s="6">
        <f>#REF!</f>
        <v/>
      </c>
      <c r="AT58" s="6">
        <f>#REF!</f>
        <v/>
      </c>
      <c r="AU58" s="6">
        <f>#REF!</f>
        <v/>
      </c>
      <c r="AV58" s="6">
        <f>#REF!</f>
        <v/>
      </c>
      <c r="AW58" s="6">
        <f>#REF!</f>
        <v/>
      </c>
      <c r="AX58" s="6">
        <f>#REF!</f>
        <v/>
      </c>
    </row>
    <row r="59">
      <c r="A59" s="3">
        <f>#REF!</f>
        <v/>
      </c>
      <c r="B59" s="4">
        <f>A59/1000000000</f>
        <v/>
      </c>
      <c r="C59" s="5">
        <f>№1!U64</f>
        <v/>
      </c>
      <c r="D59" s="5">
        <f>#REF!</f>
        <v/>
      </c>
      <c r="E59" s="5">
        <f>#REF!</f>
        <v/>
      </c>
      <c r="F59" s="5">
        <f>#REF!</f>
        <v/>
      </c>
      <c r="G59" s="5">
        <f>#REF!</f>
        <v/>
      </c>
      <c r="H59" s="5">
        <f>#REF!</f>
        <v/>
      </c>
      <c r="I59" s="5">
        <f>#REF!</f>
        <v/>
      </c>
      <c r="J59" s="5">
        <f>#REF!</f>
        <v/>
      </c>
      <c r="K59" s="6">
        <f>№1!P64</f>
        <v/>
      </c>
      <c r="L59" s="6">
        <f>#REF!</f>
        <v/>
      </c>
      <c r="M59" s="6">
        <f>#REF!</f>
        <v/>
      </c>
      <c r="N59" s="6">
        <f>#REF!</f>
        <v/>
      </c>
      <c r="O59" s="6">
        <f>#REF!</f>
        <v/>
      </c>
      <c r="P59" s="6">
        <f>#REF!</f>
        <v/>
      </c>
      <c r="Q59" s="6">
        <f>#REF!</f>
        <v/>
      </c>
      <c r="R59" s="6">
        <f>#REF!</f>
        <v/>
      </c>
      <c r="S59" s="5">
        <f>№1!R64</f>
        <v/>
      </c>
      <c r="T59" s="5">
        <f>#REF!</f>
        <v/>
      </c>
      <c r="U59" s="5">
        <f>#REF!</f>
        <v/>
      </c>
      <c r="V59" s="5">
        <f>#REF!</f>
        <v/>
      </c>
      <c r="W59" s="5">
        <f>#REF!</f>
        <v/>
      </c>
      <c r="X59" s="5">
        <f>#REF!</f>
        <v/>
      </c>
      <c r="Y59" s="5">
        <f>#REF!</f>
        <v/>
      </c>
      <c r="Z59" s="5">
        <f>#REF!</f>
        <v/>
      </c>
      <c r="AA59" s="6">
        <f>№1!Q64</f>
        <v/>
      </c>
      <c r="AB59" s="6">
        <f>#REF!</f>
        <v/>
      </c>
      <c r="AC59" s="6">
        <f>#REF!</f>
        <v/>
      </c>
      <c r="AD59" s="6">
        <f>#REF!</f>
        <v/>
      </c>
      <c r="AE59" s="6">
        <f>#REF!</f>
        <v/>
      </c>
      <c r="AF59" s="6">
        <f>#REF!</f>
        <v/>
      </c>
      <c r="AG59" s="6">
        <f>#REF!</f>
        <v/>
      </c>
      <c r="AH59" s="6">
        <f>#REF!</f>
        <v/>
      </c>
      <c r="AI59" s="5">
        <f>№1!S64</f>
        <v/>
      </c>
      <c r="AJ59" s="5">
        <f>#REF!</f>
        <v/>
      </c>
      <c r="AK59" s="5">
        <f>#REF!</f>
        <v/>
      </c>
      <c r="AL59" s="5">
        <f>#REF!</f>
        <v/>
      </c>
      <c r="AM59" s="5">
        <f>#REF!</f>
        <v/>
      </c>
      <c r="AN59" s="5">
        <f>#REF!</f>
        <v/>
      </c>
      <c r="AO59" s="5">
        <f>#REF!</f>
        <v/>
      </c>
      <c r="AP59" s="5">
        <f>#REF!</f>
        <v/>
      </c>
      <c r="AQ59" s="6">
        <f>№1!T64</f>
        <v/>
      </c>
      <c r="AR59" s="6">
        <f>#REF!</f>
        <v/>
      </c>
      <c r="AS59" s="6">
        <f>#REF!</f>
        <v/>
      </c>
      <c r="AT59" s="6">
        <f>#REF!</f>
        <v/>
      </c>
      <c r="AU59" s="6">
        <f>#REF!</f>
        <v/>
      </c>
      <c r="AV59" s="6">
        <f>#REF!</f>
        <v/>
      </c>
      <c r="AW59" s="6">
        <f>#REF!</f>
        <v/>
      </c>
      <c r="AX59" s="6">
        <f>#REF!</f>
        <v/>
      </c>
    </row>
    <row r="60">
      <c r="A60" s="4">
        <f>#REF!</f>
        <v/>
      </c>
      <c r="B60" s="4">
        <f>A60/1000000000</f>
        <v/>
      </c>
      <c r="C60" s="5">
        <f>№1!U65</f>
        <v/>
      </c>
      <c r="D60" s="5">
        <f>#REF!</f>
        <v/>
      </c>
      <c r="E60" s="5">
        <f>#REF!</f>
        <v/>
      </c>
      <c r="F60" s="5">
        <f>#REF!</f>
        <v/>
      </c>
      <c r="G60" s="5">
        <f>#REF!</f>
        <v/>
      </c>
      <c r="H60" s="5">
        <f>#REF!</f>
        <v/>
      </c>
      <c r="I60" s="5">
        <f>#REF!</f>
        <v/>
      </c>
      <c r="J60" s="5">
        <f>#REF!</f>
        <v/>
      </c>
      <c r="K60" s="6">
        <f>№1!P65</f>
        <v/>
      </c>
      <c r="L60" s="6">
        <f>#REF!</f>
        <v/>
      </c>
      <c r="M60" s="6">
        <f>#REF!</f>
        <v/>
      </c>
      <c r="N60" s="6">
        <f>#REF!</f>
        <v/>
      </c>
      <c r="O60" s="6">
        <f>#REF!</f>
        <v/>
      </c>
      <c r="P60" s="6">
        <f>#REF!</f>
        <v/>
      </c>
      <c r="Q60" s="6">
        <f>#REF!</f>
        <v/>
      </c>
      <c r="R60" s="6">
        <f>#REF!</f>
        <v/>
      </c>
      <c r="S60" s="5">
        <f>№1!R65</f>
        <v/>
      </c>
      <c r="T60" s="5">
        <f>#REF!</f>
        <v/>
      </c>
      <c r="U60" s="5">
        <f>#REF!</f>
        <v/>
      </c>
      <c r="V60" s="5">
        <f>#REF!</f>
        <v/>
      </c>
      <c r="W60" s="5">
        <f>#REF!</f>
        <v/>
      </c>
      <c r="X60" s="5">
        <f>#REF!</f>
        <v/>
      </c>
      <c r="Y60" s="5">
        <f>#REF!</f>
        <v/>
      </c>
      <c r="Z60" s="5">
        <f>#REF!</f>
        <v/>
      </c>
      <c r="AA60" s="6">
        <f>№1!Q65</f>
        <v/>
      </c>
      <c r="AB60" s="6">
        <f>#REF!</f>
        <v/>
      </c>
      <c r="AC60" s="6">
        <f>#REF!</f>
        <v/>
      </c>
      <c r="AD60" s="6">
        <f>#REF!</f>
        <v/>
      </c>
      <c r="AE60" s="6">
        <f>#REF!</f>
        <v/>
      </c>
      <c r="AF60" s="6">
        <f>#REF!</f>
        <v/>
      </c>
      <c r="AG60" s="6">
        <f>#REF!</f>
        <v/>
      </c>
      <c r="AH60" s="6">
        <f>#REF!</f>
        <v/>
      </c>
      <c r="AI60" s="5">
        <f>№1!S65</f>
        <v/>
      </c>
      <c r="AJ60" s="5">
        <f>#REF!</f>
        <v/>
      </c>
      <c r="AK60" s="5">
        <f>#REF!</f>
        <v/>
      </c>
      <c r="AL60" s="5">
        <f>#REF!</f>
        <v/>
      </c>
      <c r="AM60" s="5">
        <f>#REF!</f>
        <v/>
      </c>
      <c r="AN60" s="5">
        <f>#REF!</f>
        <v/>
      </c>
      <c r="AO60" s="5">
        <f>#REF!</f>
        <v/>
      </c>
      <c r="AP60" s="5">
        <f>#REF!</f>
        <v/>
      </c>
      <c r="AQ60" s="6">
        <f>№1!T65</f>
        <v/>
      </c>
      <c r="AR60" s="6">
        <f>#REF!</f>
        <v/>
      </c>
      <c r="AS60" s="6">
        <f>#REF!</f>
        <v/>
      </c>
      <c r="AT60" s="6">
        <f>#REF!</f>
        <v/>
      </c>
      <c r="AU60" s="6">
        <f>#REF!</f>
        <v/>
      </c>
      <c r="AV60" s="6">
        <f>#REF!</f>
        <v/>
      </c>
      <c r="AW60" s="6">
        <f>#REF!</f>
        <v/>
      </c>
      <c r="AX60" s="6">
        <f>#REF!</f>
        <v/>
      </c>
    </row>
    <row r="61">
      <c r="A61" s="3">
        <f>#REF!</f>
        <v/>
      </c>
      <c r="B61" s="4">
        <f>A61/1000000000</f>
        <v/>
      </c>
      <c r="C61" s="5">
        <f>№1!U66</f>
        <v/>
      </c>
      <c r="D61" s="5">
        <f>#REF!</f>
        <v/>
      </c>
      <c r="E61" s="5">
        <f>#REF!</f>
        <v/>
      </c>
      <c r="F61" s="5">
        <f>#REF!</f>
        <v/>
      </c>
      <c r="G61" s="5">
        <f>#REF!</f>
        <v/>
      </c>
      <c r="H61" s="5">
        <f>#REF!</f>
        <v/>
      </c>
      <c r="I61" s="5">
        <f>#REF!</f>
        <v/>
      </c>
      <c r="J61" s="5">
        <f>#REF!</f>
        <v/>
      </c>
      <c r="K61" s="6">
        <f>№1!P66</f>
        <v/>
      </c>
      <c r="L61" s="6">
        <f>#REF!</f>
        <v/>
      </c>
      <c r="M61" s="6">
        <f>#REF!</f>
        <v/>
      </c>
      <c r="N61" s="6">
        <f>#REF!</f>
        <v/>
      </c>
      <c r="O61" s="6">
        <f>#REF!</f>
        <v/>
      </c>
      <c r="P61" s="6">
        <f>#REF!</f>
        <v/>
      </c>
      <c r="Q61" s="6">
        <f>#REF!</f>
        <v/>
      </c>
      <c r="R61" s="6">
        <f>#REF!</f>
        <v/>
      </c>
      <c r="S61" s="5">
        <f>№1!R66</f>
        <v/>
      </c>
      <c r="T61" s="5">
        <f>#REF!</f>
        <v/>
      </c>
      <c r="U61" s="5">
        <f>#REF!</f>
        <v/>
      </c>
      <c r="V61" s="5">
        <f>#REF!</f>
        <v/>
      </c>
      <c r="W61" s="5">
        <f>#REF!</f>
        <v/>
      </c>
      <c r="X61" s="5">
        <f>#REF!</f>
        <v/>
      </c>
      <c r="Y61" s="5">
        <f>#REF!</f>
        <v/>
      </c>
      <c r="Z61" s="5">
        <f>#REF!</f>
        <v/>
      </c>
      <c r="AA61" s="6">
        <f>№1!Q66</f>
        <v/>
      </c>
      <c r="AB61" s="6">
        <f>#REF!</f>
        <v/>
      </c>
      <c r="AC61" s="6">
        <f>#REF!</f>
        <v/>
      </c>
      <c r="AD61" s="6">
        <f>#REF!</f>
        <v/>
      </c>
      <c r="AE61" s="6">
        <f>#REF!</f>
        <v/>
      </c>
      <c r="AF61" s="6">
        <f>#REF!</f>
        <v/>
      </c>
      <c r="AG61" s="6">
        <f>#REF!</f>
        <v/>
      </c>
      <c r="AH61" s="6">
        <f>#REF!</f>
        <v/>
      </c>
      <c r="AI61" s="5">
        <f>№1!S66</f>
        <v/>
      </c>
      <c r="AJ61" s="5">
        <f>#REF!</f>
        <v/>
      </c>
      <c r="AK61" s="5">
        <f>#REF!</f>
        <v/>
      </c>
      <c r="AL61" s="5">
        <f>#REF!</f>
        <v/>
      </c>
      <c r="AM61" s="5">
        <f>#REF!</f>
        <v/>
      </c>
      <c r="AN61" s="5">
        <f>#REF!</f>
        <v/>
      </c>
      <c r="AO61" s="5">
        <f>#REF!</f>
        <v/>
      </c>
      <c r="AP61" s="5">
        <f>#REF!</f>
        <v/>
      </c>
      <c r="AQ61" s="6">
        <f>№1!T66</f>
        <v/>
      </c>
      <c r="AR61" s="6">
        <f>#REF!</f>
        <v/>
      </c>
      <c r="AS61" s="6">
        <f>#REF!</f>
        <v/>
      </c>
      <c r="AT61" s="6">
        <f>#REF!</f>
        <v/>
      </c>
      <c r="AU61" s="6">
        <f>#REF!</f>
        <v/>
      </c>
      <c r="AV61" s="6">
        <f>#REF!</f>
        <v/>
      </c>
      <c r="AW61" s="6">
        <f>#REF!</f>
        <v/>
      </c>
      <c r="AX61" s="6">
        <f>#REF!</f>
        <v/>
      </c>
    </row>
    <row r="62">
      <c r="A62" s="4">
        <f>#REF!</f>
        <v/>
      </c>
      <c r="B62" s="4">
        <f>A62/1000000000</f>
        <v/>
      </c>
      <c r="C62" s="5">
        <f>№1!U67</f>
        <v/>
      </c>
      <c r="D62" s="5">
        <f>#REF!</f>
        <v/>
      </c>
      <c r="E62" s="5">
        <f>#REF!</f>
        <v/>
      </c>
      <c r="F62" s="5">
        <f>#REF!</f>
        <v/>
      </c>
      <c r="G62" s="5">
        <f>#REF!</f>
        <v/>
      </c>
      <c r="H62" s="5">
        <f>#REF!</f>
        <v/>
      </c>
      <c r="I62" s="5">
        <f>#REF!</f>
        <v/>
      </c>
      <c r="J62" s="5">
        <f>#REF!</f>
        <v/>
      </c>
      <c r="K62" s="6">
        <f>№1!P67</f>
        <v/>
      </c>
      <c r="L62" s="6">
        <f>#REF!</f>
        <v/>
      </c>
      <c r="M62" s="6">
        <f>#REF!</f>
        <v/>
      </c>
      <c r="N62" s="6">
        <f>#REF!</f>
        <v/>
      </c>
      <c r="O62" s="6">
        <f>#REF!</f>
        <v/>
      </c>
      <c r="P62" s="6">
        <f>#REF!</f>
        <v/>
      </c>
      <c r="Q62" s="6">
        <f>#REF!</f>
        <v/>
      </c>
      <c r="R62" s="6">
        <f>#REF!</f>
        <v/>
      </c>
      <c r="S62" s="5">
        <f>№1!R67</f>
        <v/>
      </c>
      <c r="T62" s="5">
        <f>#REF!</f>
        <v/>
      </c>
      <c r="U62" s="5">
        <f>#REF!</f>
        <v/>
      </c>
      <c r="V62" s="5">
        <f>#REF!</f>
        <v/>
      </c>
      <c r="W62" s="5">
        <f>#REF!</f>
        <v/>
      </c>
      <c r="X62" s="5">
        <f>#REF!</f>
        <v/>
      </c>
      <c r="Y62" s="5">
        <f>#REF!</f>
        <v/>
      </c>
      <c r="Z62" s="5">
        <f>#REF!</f>
        <v/>
      </c>
      <c r="AA62" s="6">
        <f>№1!Q67</f>
        <v/>
      </c>
      <c r="AB62" s="6">
        <f>#REF!</f>
        <v/>
      </c>
      <c r="AC62" s="6">
        <f>#REF!</f>
        <v/>
      </c>
      <c r="AD62" s="6">
        <f>#REF!</f>
        <v/>
      </c>
      <c r="AE62" s="6">
        <f>#REF!</f>
        <v/>
      </c>
      <c r="AF62" s="6">
        <f>#REF!</f>
        <v/>
      </c>
      <c r="AG62" s="6">
        <f>#REF!</f>
        <v/>
      </c>
      <c r="AH62" s="6">
        <f>#REF!</f>
        <v/>
      </c>
      <c r="AI62" s="5">
        <f>№1!S67</f>
        <v/>
      </c>
      <c r="AJ62" s="5">
        <f>#REF!</f>
        <v/>
      </c>
      <c r="AK62" s="5">
        <f>#REF!</f>
        <v/>
      </c>
      <c r="AL62" s="5">
        <f>#REF!</f>
        <v/>
      </c>
      <c r="AM62" s="5">
        <f>#REF!</f>
        <v/>
      </c>
      <c r="AN62" s="5">
        <f>#REF!</f>
        <v/>
      </c>
      <c r="AO62" s="5">
        <f>#REF!</f>
        <v/>
      </c>
      <c r="AP62" s="5">
        <f>#REF!</f>
        <v/>
      </c>
      <c r="AQ62" s="6">
        <f>№1!T67</f>
        <v/>
      </c>
      <c r="AR62" s="6">
        <f>#REF!</f>
        <v/>
      </c>
      <c r="AS62" s="6">
        <f>#REF!</f>
        <v/>
      </c>
      <c r="AT62" s="6">
        <f>#REF!</f>
        <v/>
      </c>
      <c r="AU62" s="6">
        <f>#REF!</f>
        <v/>
      </c>
      <c r="AV62" s="6">
        <f>#REF!</f>
        <v/>
      </c>
      <c r="AW62" s="6">
        <f>#REF!</f>
        <v/>
      </c>
      <c r="AX62" s="6">
        <f>#REF!</f>
        <v/>
      </c>
    </row>
    <row r="63">
      <c r="A63" s="3">
        <f>#REF!</f>
        <v/>
      </c>
      <c r="B63" s="4">
        <f>A63/1000000000</f>
        <v/>
      </c>
      <c r="C63" s="5">
        <f>№1!U68</f>
        <v/>
      </c>
      <c r="D63" s="5">
        <f>#REF!</f>
        <v/>
      </c>
      <c r="E63" s="5">
        <f>#REF!</f>
        <v/>
      </c>
      <c r="F63" s="5">
        <f>#REF!</f>
        <v/>
      </c>
      <c r="G63" s="5">
        <f>#REF!</f>
        <v/>
      </c>
      <c r="H63" s="5">
        <f>#REF!</f>
        <v/>
      </c>
      <c r="I63" s="5">
        <f>#REF!</f>
        <v/>
      </c>
      <c r="J63" s="5">
        <f>#REF!</f>
        <v/>
      </c>
      <c r="K63" s="6">
        <f>№1!P68</f>
        <v/>
      </c>
      <c r="L63" s="6">
        <f>#REF!</f>
        <v/>
      </c>
      <c r="M63" s="6">
        <f>#REF!</f>
        <v/>
      </c>
      <c r="N63" s="6">
        <f>#REF!</f>
        <v/>
      </c>
      <c r="O63" s="6">
        <f>#REF!</f>
        <v/>
      </c>
      <c r="P63" s="6">
        <f>#REF!</f>
        <v/>
      </c>
      <c r="Q63" s="6">
        <f>#REF!</f>
        <v/>
      </c>
      <c r="R63" s="6">
        <f>#REF!</f>
        <v/>
      </c>
      <c r="S63" s="5">
        <f>№1!R68</f>
        <v/>
      </c>
      <c r="T63" s="5">
        <f>#REF!</f>
        <v/>
      </c>
      <c r="U63" s="5">
        <f>#REF!</f>
        <v/>
      </c>
      <c r="V63" s="5">
        <f>#REF!</f>
        <v/>
      </c>
      <c r="W63" s="5">
        <f>#REF!</f>
        <v/>
      </c>
      <c r="X63" s="5">
        <f>#REF!</f>
        <v/>
      </c>
      <c r="Y63" s="5">
        <f>#REF!</f>
        <v/>
      </c>
      <c r="Z63" s="5">
        <f>#REF!</f>
        <v/>
      </c>
      <c r="AA63" s="6">
        <f>№1!Q68</f>
        <v/>
      </c>
      <c r="AB63" s="6">
        <f>#REF!</f>
        <v/>
      </c>
      <c r="AC63" s="6">
        <f>#REF!</f>
        <v/>
      </c>
      <c r="AD63" s="6">
        <f>#REF!</f>
        <v/>
      </c>
      <c r="AE63" s="6">
        <f>#REF!</f>
        <v/>
      </c>
      <c r="AF63" s="6">
        <f>#REF!</f>
        <v/>
      </c>
      <c r="AG63" s="6">
        <f>#REF!</f>
        <v/>
      </c>
      <c r="AH63" s="6">
        <f>#REF!</f>
        <v/>
      </c>
      <c r="AI63" s="5">
        <f>№1!S68</f>
        <v/>
      </c>
      <c r="AJ63" s="5">
        <f>#REF!</f>
        <v/>
      </c>
      <c r="AK63" s="5">
        <f>#REF!</f>
        <v/>
      </c>
      <c r="AL63" s="5">
        <f>#REF!</f>
        <v/>
      </c>
      <c r="AM63" s="5">
        <f>#REF!</f>
        <v/>
      </c>
      <c r="AN63" s="5">
        <f>#REF!</f>
        <v/>
      </c>
      <c r="AO63" s="5">
        <f>#REF!</f>
        <v/>
      </c>
      <c r="AP63" s="5">
        <f>#REF!</f>
        <v/>
      </c>
      <c r="AQ63" s="6">
        <f>№1!T68</f>
        <v/>
      </c>
      <c r="AR63" s="6">
        <f>#REF!</f>
        <v/>
      </c>
      <c r="AS63" s="6">
        <f>#REF!</f>
        <v/>
      </c>
      <c r="AT63" s="6">
        <f>#REF!</f>
        <v/>
      </c>
      <c r="AU63" s="6">
        <f>#REF!</f>
        <v/>
      </c>
      <c r="AV63" s="6">
        <f>#REF!</f>
        <v/>
      </c>
      <c r="AW63" s="6">
        <f>#REF!</f>
        <v/>
      </c>
      <c r="AX63" s="6">
        <f>#REF!</f>
        <v/>
      </c>
    </row>
    <row r="64">
      <c r="A64" s="4">
        <f>#REF!</f>
        <v/>
      </c>
      <c r="B64" s="4">
        <f>A64/1000000000</f>
        <v/>
      </c>
      <c r="C64" s="5">
        <f>№1!U69</f>
        <v/>
      </c>
      <c r="D64" s="5">
        <f>#REF!</f>
        <v/>
      </c>
      <c r="E64" s="5">
        <f>#REF!</f>
        <v/>
      </c>
      <c r="F64" s="5">
        <f>#REF!</f>
        <v/>
      </c>
      <c r="G64" s="5">
        <f>#REF!</f>
        <v/>
      </c>
      <c r="H64" s="5">
        <f>#REF!</f>
        <v/>
      </c>
      <c r="I64" s="5">
        <f>#REF!</f>
        <v/>
      </c>
      <c r="J64" s="5">
        <f>#REF!</f>
        <v/>
      </c>
      <c r="K64" s="6">
        <f>№1!P69</f>
        <v/>
      </c>
      <c r="L64" s="6">
        <f>#REF!</f>
        <v/>
      </c>
      <c r="M64" s="6">
        <f>#REF!</f>
        <v/>
      </c>
      <c r="N64" s="6">
        <f>#REF!</f>
        <v/>
      </c>
      <c r="O64" s="6">
        <f>#REF!</f>
        <v/>
      </c>
      <c r="P64" s="6">
        <f>#REF!</f>
        <v/>
      </c>
      <c r="Q64" s="6">
        <f>#REF!</f>
        <v/>
      </c>
      <c r="R64" s="6">
        <f>#REF!</f>
        <v/>
      </c>
      <c r="S64" s="5">
        <f>№1!R69</f>
        <v/>
      </c>
      <c r="T64" s="5">
        <f>#REF!</f>
        <v/>
      </c>
      <c r="U64" s="5">
        <f>#REF!</f>
        <v/>
      </c>
      <c r="V64" s="5">
        <f>#REF!</f>
        <v/>
      </c>
      <c r="W64" s="5">
        <f>#REF!</f>
        <v/>
      </c>
      <c r="X64" s="5">
        <f>#REF!</f>
        <v/>
      </c>
      <c r="Y64" s="5">
        <f>#REF!</f>
        <v/>
      </c>
      <c r="Z64" s="5">
        <f>#REF!</f>
        <v/>
      </c>
      <c r="AA64" s="6">
        <f>№1!Q69</f>
        <v/>
      </c>
      <c r="AB64" s="6">
        <f>#REF!</f>
        <v/>
      </c>
      <c r="AC64" s="6">
        <f>#REF!</f>
        <v/>
      </c>
      <c r="AD64" s="6">
        <f>#REF!</f>
        <v/>
      </c>
      <c r="AE64" s="6">
        <f>#REF!</f>
        <v/>
      </c>
      <c r="AF64" s="6">
        <f>#REF!</f>
        <v/>
      </c>
      <c r="AG64" s="6">
        <f>#REF!</f>
        <v/>
      </c>
      <c r="AH64" s="6">
        <f>#REF!</f>
        <v/>
      </c>
      <c r="AI64" s="5">
        <f>№1!S69</f>
        <v/>
      </c>
      <c r="AJ64" s="5">
        <f>#REF!</f>
        <v/>
      </c>
      <c r="AK64" s="5">
        <f>#REF!</f>
        <v/>
      </c>
      <c r="AL64" s="5">
        <f>#REF!</f>
        <v/>
      </c>
      <c r="AM64" s="5">
        <f>#REF!</f>
        <v/>
      </c>
      <c r="AN64" s="5">
        <f>#REF!</f>
        <v/>
      </c>
      <c r="AO64" s="5">
        <f>#REF!</f>
        <v/>
      </c>
      <c r="AP64" s="5">
        <f>#REF!</f>
        <v/>
      </c>
      <c r="AQ64" s="6">
        <f>№1!T69</f>
        <v/>
      </c>
      <c r="AR64" s="6">
        <f>#REF!</f>
        <v/>
      </c>
      <c r="AS64" s="6">
        <f>#REF!</f>
        <v/>
      </c>
      <c r="AT64" s="6">
        <f>#REF!</f>
        <v/>
      </c>
      <c r="AU64" s="6">
        <f>#REF!</f>
        <v/>
      </c>
      <c r="AV64" s="6">
        <f>#REF!</f>
        <v/>
      </c>
      <c r="AW64" s="6">
        <f>#REF!</f>
        <v/>
      </c>
      <c r="AX64" s="6">
        <f>#REF!</f>
        <v/>
      </c>
    </row>
    <row r="65">
      <c r="A65" s="3">
        <f>#REF!</f>
        <v/>
      </c>
      <c r="B65" s="4">
        <f>A65/1000000000</f>
        <v/>
      </c>
      <c r="C65" s="5">
        <f>№1!U70</f>
        <v/>
      </c>
      <c r="D65" s="5">
        <f>#REF!</f>
        <v/>
      </c>
      <c r="E65" s="5">
        <f>#REF!</f>
        <v/>
      </c>
      <c r="F65" s="5">
        <f>#REF!</f>
        <v/>
      </c>
      <c r="G65" s="5">
        <f>#REF!</f>
        <v/>
      </c>
      <c r="H65" s="5">
        <f>#REF!</f>
        <v/>
      </c>
      <c r="I65" s="5">
        <f>#REF!</f>
        <v/>
      </c>
      <c r="J65" s="5">
        <f>#REF!</f>
        <v/>
      </c>
      <c r="K65" s="6">
        <f>№1!P70</f>
        <v/>
      </c>
      <c r="L65" s="6">
        <f>#REF!</f>
        <v/>
      </c>
      <c r="M65" s="6">
        <f>#REF!</f>
        <v/>
      </c>
      <c r="N65" s="6">
        <f>#REF!</f>
        <v/>
      </c>
      <c r="O65" s="6">
        <f>#REF!</f>
        <v/>
      </c>
      <c r="P65" s="6">
        <f>#REF!</f>
        <v/>
      </c>
      <c r="Q65" s="6">
        <f>#REF!</f>
        <v/>
      </c>
      <c r="R65" s="6">
        <f>#REF!</f>
        <v/>
      </c>
      <c r="S65" s="5">
        <f>№1!R70</f>
        <v/>
      </c>
      <c r="T65" s="5">
        <f>#REF!</f>
        <v/>
      </c>
      <c r="U65" s="5">
        <f>#REF!</f>
        <v/>
      </c>
      <c r="V65" s="5">
        <f>#REF!</f>
        <v/>
      </c>
      <c r="W65" s="5">
        <f>#REF!</f>
        <v/>
      </c>
      <c r="X65" s="5">
        <f>#REF!</f>
        <v/>
      </c>
      <c r="Y65" s="5">
        <f>#REF!</f>
        <v/>
      </c>
      <c r="Z65" s="5">
        <f>#REF!</f>
        <v/>
      </c>
      <c r="AA65" s="6">
        <f>№1!Q70</f>
        <v/>
      </c>
      <c r="AB65" s="6">
        <f>#REF!</f>
        <v/>
      </c>
      <c r="AC65" s="6">
        <f>#REF!</f>
        <v/>
      </c>
      <c r="AD65" s="6">
        <f>#REF!</f>
        <v/>
      </c>
      <c r="AE65" s="6">
        <f>#REF!</f>
        <v/>
      </c>
      <c r="AF65" s="6">
        <f>#REF!</f>
        <v/>
      </c>
      <c r="AG65" s="6">
        <f>#REF!</f>
        <v/>
      </c>
      <c r="AH65" s="6">
        <f>#REF!</f>
        <v/>
      </c>
      <c r="AI65" s="5">
        <f>№1!S70</f>
        <v/>
      </c>
      <c r="AJ65" s="5">
        <f>#REF!</f>
        <v/>
      </c>
      <c r="AK65" s="5">
        <f>#REF!</f>
        <v/>
      </c>
      <c r="AL65" s="5">
        <f>#REF!</f>
        <v/>
      </c>
      <c r="AM65" s="5">
        <f>#REF!</f>
        <v/>
      </c>
      <c r="AN65" s="5">
        <f>#REF!</f>
        <v/>
      </c>
      <c r="AO65" s="5">
        <f>#REF!</f>
        <v/>
      </c>
      <c r="AP65" s="5">
        <f>#REF!</f>
        <v/>
      </c>
      <c r="AQ65" s="6">
        <f>№1!T70</f>
        <v/>
      </c>
      <c r="AR65" s="6">
        <f>#REF!</f>
        <v/>
      </c>
      <c r="AS65" s="6">
        <f>#REF!</f>
        <v/>
      </c>
      <c r="AT65" s="6">
        <f>#REF!</f>
        <v/>
      </c>
      <c r="AU65" s="6">
        <f>#REF!</f>
        <v/>
      </c>
      <c r="AV65" s="6">
        <f>#REF!</f>
        <v/>
      </c>
      <c r="AW65" s="6">
        <f>#REF!</f>
        <v/>
      </c>
      <c r="AX65" s="6">
        <f>#REF!</f>
        <v/>
      </c>
    </row>
    <row r="66">
      <c r="A66" s="4">
        <f>#REF!</f>
        <v/>
      </c>
      <c r="B66" s="4">
        <f>A66/1000000000</f>
        <v/>
      </c>
      <c r="C66" s="5">
        <f>№1!U71</f>
        <v/>
      </c>
      <c r="D66" s="5">
        <f>#REF!</f>
        <v/>
      </c>
      <c r="E66" s="5">
        <f>#REF!</f>
        <v/>
      </c>
      <c r="F66" s="5">
        <f>#REF!</f>
        <v/>
      </c>
      <c r="G66" s="5">
        <f>#REF!</f>
        <v/>
      </c>
      <c r="H66" s="5">
        <f>#REF!</f>
        <v/>
      </c>
      <c r="I66" s="5">
        <f>#REF!</f>
        <v/>
      </c>
      <c r="J66" s="5">
        <f>#REF!</f>
        <v/>
      </c>
      <c r="K66" s="6">
        <f>№1!P71</f>
        <v/>
      </c>
      <c r="L66" s="6">
        <f>#REF!</f>
        <v/>
      </c>
      <c r="M66" s="6">
        <f>#REF!</f>
        <v/>
      </c>
      <c r="N66" s="6">
        <f>#REF!</f>
        <v/>
      </c>
      <c r="O66" s="6">
        <f>#REF!</f>
        <v/>
      </c>
      <c r="P66" s="6">
        <f>#REF!</f>
        <v/>
      </c>
      <c r="Q66" s="6">
        <f>#REF!</f>
        <v/>
      </c>
      <c r="R66" s="6">
        <f>#REF!</f>
        <v/>
      </c>
      <c r="S66" s="5">
        <f>№1!R71</f>
        <v/>
      </c>
      <c r="T66" s="5">
        <f>#REF!</f>
        <v/>
      </c>
      <c r="U66" s="5">
        <f>#REF!</f>
        <v/>
      </c>
      <c r="V66" s="5">
        <f>#REF!</f>
        <v/>
      </c>
      <c r="W66" s="5">
        <f>#REF!</f>
        <v/>
      </c>
      <c r="X66" s="5">
        <f>#REF!</f>
        <v/>
      </c>
      <c r="Y66" s="5">
        <f>#REF!</f>
        <v/>
      </c>
      <c r="Z66" s="5">
        <f>#REF!</f>
        <v/>
      </c>
      <c r="AA66" s="6">
        <f>№1!Q71</f>
        <v/>
      </c>
      <c r="AB66" s="6">
        <f>#REF!</f>
        <v/>
      </c>
      <c r="AC66" s="6">
        <f>#REF!</f>
        <v/>
      </c>
      <c r="AD66" s="6">
        <f>#REF!</f>
        <v/>
      </c>
      <c r="AE66" s="6">
        <f>#REF!</f>
        <v/>
      </c>
      <c r="AF66" s="6">
        <f>#REF!</f>
        <v/>
      </c>
      <c r="AG66" s="6">
        <f>#REF!</f>
        <v/>
      </c>
      <c r="AH66" s="6">
        <f>#REF!</f>
        <v/>
      </c>
      <c r="AI66" s="5">
        <f>№1!S71</f>
        <v/>
      </c>
      <c r="AJ66" s="5">
        <f>#REF!</f>
        <v/>
      </c>
      <c r="AK66" s="5">
        <f>#REF!</f>
        <v/>
      </c>
      <c r="AL66" s="5">
        <f>#REF!</f>
        <v/>
      </c>
      <c r="AM66" s="5">
        <f>#REF!</f>
        <v/>
      </c>
      <c r="AN66" s="5">
        <f>#REF!</f>
        <v/>
      </c>
      <c r="AO66" s="5">
        <f>#REF!</f>
        <v/>
      </c>
      <c r="AP66" s="5">
        <f>#REF!</f>
        <v/>
      </c>
      <c r="AQ66" s="6">
        <f>№1!T71</f>
        <v/>
      </c>
      <c r="AR66" s="6">
        <f>#REF!</f>
        <v/>
      </c>
      <c r="AS66" s="6">
        <f>#REF!</f>
        <v/>
      </c>
      <c r="AT66" s="6">
        <f>#REF!</f>
        <v/>
      </c>
      <c r="AU66" s="6">
        <f>#REF!</f>
        <v/>
      </c>
      <c r="AV66" s="6">
        <f>#REF!</f>
        <v/>
      </c>
      <c r="AW66" s="6">
        <f>#REF!</f>
        <v/>
      </c>
      <c r="AX66" s="6">
        <f>#REF!</f>
        <v/>
      </c>
    </row>
    <row r="67">
      <c r="A67" s="3">
        <f>#REF!</f>
        <v/>
      </c>
      <c r="B67" s="4">
        <f>A67/1000000000</f>
        <v/>
      </c>
      <c r="C67" s="5">
        <f>№1!U72</f>
        <v/>
      </c>
      <c r="D67" s="5">
        <f>#REF!</f>
        <v/>
      </c>
      <c r="E67" s="5">
        <f>#REF!</f>
        <v/>
      </c>
      <c r="F67" s="5">
        <f>#REF!</f>
        <v/>
      </c>
      <c r="G67" s="5">
        <f>#REF!</f>
        <v/>
      </c>
      <c r="H67" s="5">
        <f>#REF!</f>
        <v/>
      </c>
      <c r="I67" s="5">
        <f>#REF!</f>
        <v/>
      </c>
      <c r="J67" s="5">
        <f>#REF!</f>
        <v/>
      </c>
      <c r="K67" s="6">
        <f>№1!P72</f>
        <v/>
      </c>
      <c r="L67" s="6">
        <f>#REF!</f>
        <v/>
      </c>
      <c r="M67" s="6">
        <f>#REF!</f>
        <v/>
      </c>
      <c r="N67" s="6">
        <f>#REF!</f>
        <v/>
      </c>
      <c r="O67" s="6">
        <f>#REF!</f>
        <v/>
      </c>
      <c r="P67" s="6">
        <f>#REF!</f>
        <v/>
      </c>
      <c r="Q67" s="6">
        <f>#REF!</f>
        <v/>
      </c>
      <c r="R67" s="6">
        <f>#REF!</f>
        <v/>
      </c>
      <c r="S67" s="5">
        <f>№1!R72</f>
        <v/>
      </c>
      <c r="T67" s="5">
        <f>#REF!</f>
        <v/>
      </c>
      <c r="U67" s="5">
        <f>#REF!</f>
        <v/>
      </c>
      <c r="V67" s="5">
        <f>#REF!</f>
        <v/>
      </c>
      <c r="W67" s="5">
        <f>#REF!</f>
        <v/>
      </c>
      <c r="X67" s="5">
        <f>#REF!</f>
        <v/>
      </c>
      <c r="Y67" s="5">
        <f>#REF!</f>
        <v/>
      </c>
      <c r="Z67" s="5">
        <f>#REF!</f>
        <v/>
      </c>
      <c r="AA67" s="6">
        <f>№1!Q72</f>
        <v/>
      </c>
      <c r="AB67" s="6">
        <f>#REF!</f>
        <v/>
      </c>
      <c r="AC67" s="6">
        <f>#REF!</f>
        <v/>
      </c>
      <c r="AD67" s="6">
        <f>#REF!</f>
        <v/>
      </c>
      <c r="AE67" s="6">
        <f>#REF!</f>
        <v/>
      </c>
      <c r="AF67" s="6">
        <f>#REF!</f>
        <v/>
      </c>
      <c r="AG67" s="6">
        <f>#REF!</f>
        <v/>
      </c>
      <c r="AH67" s="6">
        <f>#REF!</f>
        <v/>
      </c>
      <c r="AI67" s="5">
        <f>№1!S72</f>
        <v/>
      </c>
      <c r="AJ67" s="5">
        <f>#REF!</f>
        <v/>
      </c>
      <c r="AK67" s="5">
        <f>#REF!</f>
        <v/>
      </c>
      <c r="AL67" s="5">
        <f>#REF!</f>
        <v/>
      </c>
      <c r="AM67" s="5">
        <f>#REF!</f>
        <v/>
      </c>
      <c r="AN67" s="5">
        <f>#REF!</f>
        <v/>
      </c>
      <c r="AO67" s="5">
        <f>#REF!</f>
        <v/>
      </c>
      <c r="AP67" s="5">
        <f>#REF!</f>
        <v/>
      </c>
      <c r="AQ67" s="6">
        <f>№1!T72</f>
        <v/>
      </c>
      <c r="AR67" s="6">
        <f>#REF!</f>
        <v/>
      </c>
      <c r="AS67" s="6">
        <f>#REF!</f>
        <v/>
      </c>
      <c r="AT67" s="6">
        <f>#REF!</f>
        <v/>
      </c>
      <c r="AU67" s="6">
        <f>#REF!</f>
        <v/>
      </c>
      <c r="AV67" s="6">
        <f>#REF!</f>
        <v/>
      </c>
      <c r="AW67" s="6">
        <f>#REF!</f>
        <v/>
      </c>
      <c r="AX67" s="6">
        <f>#REF!</f>
        <v/>
      </c>
    </row>
    <row r="68">
      <c r="A68" s="4">
        <f>#REF!</f>
        <v/>
      </c>
      <c r="B68" s="4">
        <f>A68/1000000000</f>
        <v/>
      </c>
      <c r="C68" s="5">
        <f>№1!U73</f>
        <v/>
      </c>
      <c r="D68" s="5">
        <f>#REF!</f>
        <v/>
      </c>
      <c r="E68" s="5">
        <f>#REF!</f>
        <v/>
      </c>
      <c r="F68" s="5">
        <f>#REF!</f>
        <v/>
      </c>
      <c r="G68" s="5">
        <f>#REF!</f>
        <v/>
      </c>
      <c r="H68" s="5">
        <f>#REF!</f>
        <v/>
      </c>
      <c r="I68" s="5">
        <f>#REF!</f>
        <v/>
      </c>
      <c r="J68" s="5">
        <f>#REF!</f>
        <v/>
      </c>
      <c r="K68" s="6">
        <f>№1!P73</f>
        <v/>
      </c>
      <c r="L68" s="6">
        <f>#REF!</f>
        <v/>
      </c>
      <c r="M68" s="6">
        <f>#REF!</f>
        <v/>
      </c>
      <c r="N68" s="6">
        <f>#REF!</f>
        <v/>
      </c>
      <c r="O68" s="6">
        <f>#REF!</f>
        <v/>
      </c>
      <c r="P68" s="6">
        <f>#REF!</f>
        <v/>
      </c>
      <c r="Q68" s="6">
        <f>#REF!</f>
        <v/>
      </c>
      <c r="R68" s="6">
        <f>#REF!</f>
        <v/>
      </c>
      <c r="S68" s="5">
        <f>№1!R73</f>
        <v/>
      </c>
      <c r="T68" s="5">
        <f>#REF!</f>
        <v/>
      </c>
      <c r="U68" s="5">
        <f>#REF!</f>
        <v/>
      </c>
      <c r="V68" s="5">
        <f>#REF!</f>
        <v/>
      </c>
      <c r="W68" s="5">
        <f>#REF!</f>
        <v/>
      </c>
      <c r="X68" s="5">
        <f>#REF!</f>
        <v/>
      </c>
      <c r="Y68" s="5">
        <f>#REF!</f>
        <v/>
      </c>
      <c r="Z68" s="5">
        <f>#REF!</f>
        <v/>
      </c>
      <c r="AA68" s="6">
        <f>№1!Q73</f>
        <v/>
      </c>
      <c r="AB68" s="6">
        <f>#REF!</f>
        <v/>
      </c>
      <c r="AC68" s="6">
        <f>#REF!</f>
        <v/>
      </c>
      <c r="AD68" s="6">
        <f>#REF!</f>
        <v/>
      </c>
      <c r="AE68" s="6">
        <f>#REF!</f>
        <v/>
      </c>
      <c r="AF68" s="6">
        <f>#REF!</f>
        <v/>
      </c>
      <c r="AG68" s="6">
        <f>#REF!</f>
        <v/>
      </c>
      <c r="AH68" s="6">
        <f>#REF!</f>
        <v/>
      </c>
      <c r="AI68" s="5">
        <f>№1!S73</f>
        <v/>
      </c>
      <c r="AJ68" s="5">
        <f>#REF!</f>
        <v/>
      </c>
      <c r="AK68" s="5">
        <f>#REF!</f>
        <v/>
      </c>
      <c r="AL68" s="5">
        <f>#REF!</f>
        <v/>
      </c>
      <c r="AM68" s="5">
        <f>#REF!</f>
        <v/>
      </c>
      <c r="AN68" s="5">
        <f>#REF!</f>
        <v/>
      </c>
      <c r="AO68" s="5">
        <f>#REF!</f>
        <v/>
      </c>
      <c r="AP68" s="5">
        <f>#REF!</f>
        <v/>
      </c>
      <c r="AQ68" s="6">
        <f>№1!T73</f>
        <v/>
      </c>
      <c r="AR68" s="6">
        <f>#REF!</f>
        <v/>
      </c>
      <c r="AS68" s="6">
        <f>#REF!</f>
        <v/>
      </c>
      <c r="AT68" s="6">
        <f>#REF!</f>
        <v/>
      </c>
      <c r="AU68" s="6">
        <f>#REF!</f>
        <v/>
      </c>
      <c r="AV68" s="6">
        <f>#REF!</f>
        <v/>
      </c>
      <c r="AW68" s="6">
        <f>#REF!</f>
        <v/>
      </c>
      <c r="AX68" s="6">
        <f>#REF!</f>
        <v/>
      </c>
    </row>
    <row r="69">
      <c r="A69" s="3">
        <f>#REF!</f>
        <v/>
      </c>
      <c r="B69" s="4">
        <f>A69/1000000000</f>
        <v/>
      </c>
      <c r="C69" s="5">
        <f>№1!U74</f>
        <v/>
      </c>
      <c r="D69" s="5">
        <f>#REF!</f>
        <v/>
      </c>
      <c r="E69" s="5">
        <f>#REF!</f>
        <v/>
      </c>
      <c r="F69" s="5">
        <f>#REF!</f>
        <v/>
      </c>
      <c r="G69" s="5">
        <f>#REF!</f>
        <v/>
      </c>
      <c r="H69" s="5">
        <f>#REF!</f>
        <v/>
      </c>
      <c r="I69" s="5">
        <f>#REF!</f>
        <v/>
      </c>
      <c r="J69" s="5">
        <f>#REF!</f>
        <v/>
      </c>
      <c r="K69" s="6">
        <f>№1!P74</f>
        <v/>
      </c>
      <c r="L69" s="6">
        <f>#REF!</f>
        <v/>
      </c>
      <c r="M69" s="6">
        <f>#REF!</f>
        <v/>
      </c>
      <c r="N69" s="6">
        <f>#REF!</f>
        <v/>
      </c>
      <c r="O69" s="6">
        <f>#REF!</f>
        <v/>
      </c>
      <c r="P69" s="6">
        <f>#REF!</f>
        <v/>
      </c>
      <c r="Q69" s="6">
        <f>#REF!</f>
        <v/>
      </c>
      <c r="R69" s="6">
        <f>#REF!</f>
        <v/>
      </c>
      <c r="S69" s="5">
        <f>№1!R74</f>
        <v/>
      </c>
      <c r="T69" s="5">
        <f>#REF!</f>
        <v/>
      </c>
      <c r="U69" s="5">
        <f>#REF!</f>
        <v/>
      </c>
      <c r="V69" s="5">
        <f>#REF!</f>
        <v/>
      </c>
      <c r="W69" s="5">
        <f>#REF!</f>
        <v/>
      </c>
      <c r="X69" s="5">
        <f>#REF!</f>
        <v/>
      </c>
      <c r="Y69" s="5">
        <f>#REF!</f>
        <v/>
      </c>
      <c r="Z69" s="5">
        <f>#REF!</f>
        <v/>
      </c>
      <c r="AA69" s="6">
        <f>№1!Q74</f>
        <v/>
      </c>
      <c r="AB69" s="6">
        <f>#REF!</f>
        <v/>
      </c>
      <c r="AC69" s="6">
        <f>#REF!</f>
        <v/>
      </c>
      <c r="AD69" s="6">
        <f>#REF!</f>
        <v/>
      </c>
      <c r="AE69" s="6">
        <f>#REF!</f>
        <v/>
      </c>
      <c r="AF69" s="6">
        <f>#REF!</f>
        <v/>
      </c>
      <c r="AG69" s="6">
        <f>#REF!</f>
        <v/>
      </c>
      <c r="AH69" s="6">
        <f>#REF!</f>
        <v/>
      </c>
      <c r="AI69" s="5">
        <f>№1!S74</f>
        <v/>
      </c>
      <c r="AJ69" s="5">
        <f>#REF!</f>
        <v/>
      </c>
      <c r="AK69" s="5">
        <f>#REF!</f>
        <v/>
      </c>
      <c r="AL69" s="5">
        <f>#REF!</f>
        <v/>
      </c>
      <c r="AM69" s="5">
        <f>#REF!</f>
        <v/>
      </c>
      <c r="AN69" s="5">
        <f>#REF!</f>
        <v/>
      </c>
      <c r="AO69" s="5">
        <f>#REF!</f>
        <v/>
      </c>
      <c r="AP69" s="5">
        <f>#REF!</f>
        <v/>
      </c>
      <c r="AQ69" s="6">
        <f>№1!T74</f>
        <v/>
      </c>
      <c r="AR69" s="6">
        <f>#REF!</f>
        <v/>
      </c>
      <c r="AS69" s="6">
        <f>#REF!</f>
        <v/>
      </c>
      <c r="AT69" s="6">
        <f>#REF!</f>
        <v/>
      </c>
      <c r="AU69" s="6">
        <f>#REF!</f>
        <v/>
      </c>
      <c r="AV69" s="6">
        <f>#REF!</f>
        <v/>
      </c>
      <c r="AW69" s="6">
        <f>#REF!</f>
        <v/>
      </c>
      <c r="AX69" s="6">
        <f>#REF!</f>
        <v/>
      </c>
    </row>
    <row r="70">
      <c r="A70" s="4">
        <f>#REF!</f>
        <v/>
      </c>
      <c r="B70" s="4">
        <f>A70/1000000000</f>
        <v/>
      </c>
      <c r="C70" s="5">
        <f>№1!U75</f>
        <v/>
      </c>
      <c r="D70" s="5">
        <f>#REF!</f>
        <v/>
      </c>
      <c r="E70" s="5">
        <f>#REF!</f>
        <v/>
      </c>
      <c r="F70" s="5">
        <f>#REF!</f>
        <v/>
      </c>
      <c r="G70" s="5">
        <f>#REF!</f>
        <v/>
      </c>
      <c r="H70" s="5">
        <f>#REF!</f>
        <v/>
      </c>
      <c r="I70" s="5">
        <f>#REF!</f>
        <v/>
      </c>
      <c r="J70" s="5">
        <f>#REF!</f>
        <v/>
      </c>
      <c r="K70" s="6">
        <f>№1!P75</f>
        <v/>
      </c>
      <c r="L70" s="6">
        <f>#REF!</f>
        <v/>
      </c>
      <c r="M70" s="6">
        <f>#REF!</f>
        <v/>
      </c>
      <c r="N70" s="6">
        <f>#REF!</f>
        <v/>
      </c>
      <c r="O70" s="6">
        <f>#REF!</f>
        <v/>
      </c>
      <c r="P70" s="6">
        <f>#REF!</f>
        <v/>
      </c>
      <c r="Q70" s="6">
        <f>#REF!</f>
        <v/>
      </c>
      <c r="R70" s="6">
        <f>#REF!</f>
        <v/>
      </c>
      <c r="S70" s="5">
        <f>№1!R75</f>
        <v/>
      </c>
      <c r="T70" s="5">
        <f>#REF!</f>
        <v/>
      </c>
      <c r="U70" s="5">
        <f>#REF!</f>
        <v/>
      </c>
      <c r="V70" s="5">
        <f>#REF!</f>
        <v/>
      </c>
      <c r="W70" s="5">
        <f>#REF!</f>
        <v/>
      </c>
      <c r="X70" s="5">
        <f>#REF!</f>
        <v/>
      </c>
      <c r="Y70" s="5">
        <f>#REF!</f>
        <v/>
      </c>
      <c r="Z70" s="5">
        <f>#REF!</f>
        <v/>
      </c>
      <c r="AA70" s="6">
        <f>№1!Q75</f>
        <v/>
      </c>
      <c r="AB70" s="6">
        <f>#REF!</f>
        <v/>
      </c>
      <c r="AC70" s="6">
        <f>#REF!</f>
        <v/>
      </c>
      <c r="AD70" s="6">
        <f>#REF!</f>
        <v/>
      </c>
      <c r="AE70" s="6">
        <f>#REF!</f>
        <v/>
      </c>
      <c r="AF70" s="6">
        <f>#REF!</f>
        <v/>
      </c>
      <c r="AG70" s="6">
        <f>#REF!</f>
        <v/>
      </c>
      <c r="AH70" s="6">
        <f>#REF!</f>
        <v/>
      </c>
      <c r="AI70" s="5">
        <f>№1!S75</f>
        <v/>
      </c>
      <c r="AJ70" s="5">
        <f>#REF!</f>
        <v/>
      </c>
      <c r="AK70" s="5">
        <f>#REF!</f>
        <v/>
      </c>
      <c r="AL70" s="5">
        <f>#REF!</f>
        <v/>
      </c>
      <c r="AM70" s="5">
        <f>#REF!</f>
        <v/>
      </c>
      <c r="AN70" s="5">
        <f>#REF!</f>
        <v/>
      </c>
      <c r="AO70" s="5">
        <f>#REF!</f>
        <v/>
      </c>
      <c r="AP70" s="5">
        <f>#REF!</f>
        <v/>
      </c>
      <c r="AQ70" s="6">
        <f>№1!T75</f>
        <v/>
      </c>
      <c r="AR70" s="6">
        <f>#REF!</f>
        <v/>
      </c>
      <c r="AS70" s="6">
        <f>#REF!</f>
        <v/>
      </c>
      <c r="AT70" s="6">
        <f>#REF!</f>
        <v/>
      </c>
      <c r="AU70" s="6">
        <f>#REF!</f>
        <v/>
      </c>
      <c r="AV70" s="6">
        <f>#REF!</f>
        <v/>
      </c>
      <c r="AW70" s="6">
        <f>#REF!</f>
        <v/>
      </c>
      <c r="AX70" s="6">
        <f>#REF!</f>
        <v/>
      </c>
    </row>
    <row r="71">
      <c r="A71" s="3">
        <f>#REF!</f>
        <v/>
      </c>
      <c r="B71" s="4">
        <f>A71/1000000000</f>
        <v/>
      </c>
      <c r="C71" s="5">
        <f>№1!U76</f>
        <v/>
      </c>
      <c r="D71" s="5">
        <f>#REF!</f>
        <v/>
      </c>
      <c r="E71" s="5">
        <f>#REF!</f>
        <v/>
      </c>
      <c r="F71" s="5">
        <f>#REF!</f>
        <v/>
      </c>
      <c r="G71" s="5">
        <f>#REF!</f>
        <v/>
      </c>
      <c r="H71" s="5">
        <f>#REF!</f>
        <v/>
      </c>
      <c r="I71" s="5">
        <f>#REF!</f>
        <v/>
      </c>
      <c r="J71" s="5">
        <f>#REF!</f>
        <v/>
      </c>
      <c r="K71" s="6">
        <f>№1!P76</f>
        <v/>
      </c>
      <c r="L71" s="6">
        <f>#REF!</f>
        <v/>
      </c>
      <c r="M71" s="6">
        <f>#REF!</f>
        <v/>
      </c>
      <c r="N71" s="6">
        <f>#REF!</f>
        <v/>
      </c>
      <c r="O71" s="6">
        <f>#REF!</f>
        <v/>
      </c>
      <c r="P71" s="6">
        <f>#REF!</f>
        <v/>
      </c>
      <c r="Q71" s="6">
        <f>#REF!</f>
        <v/>
      </c>
      <c r="R71" s="6">
        <f>#REF!</f>
        <v/>
      </c>
      <c r="S71" s="5">
        <f>№1!R76</f>
        <v/>
      </c>
      <c r="T71" s="5">
        <f>#REF!</f>
        <v/>
      </c>
      <c r="U71" s="5">
        <f>#REF!</f>
        <v/>
      </c>
      <c r="V71" s="5">
        <f>#REF!</f>
        <v/>
      </c>
      <c r="W71" s="5">
        <f>#REF!</f>
        <v/>
      </c>
      <c r="X71" s="5">
        <f>#REF!</f>
        <v/>
      </c>
      <c r="Y71" s="5">
        <f>#REF!</f>
        <v/>
      </c>
      <c r="Z71" s="5">
        <f>#REF!</f>
        <v/>
      </c>
      <c r="AA71" s="6">
        <f>№1!Q76</f>
        <v/>
      </c>
      <c r="AB71" s="6">
        <f>#REF!</f>
        <v/>
      </c>
      <c r="AC71" s="6">
        <f>#REF!</f>
        <v/>
      </c>
      <c r="AD71" s="6">
        <f>#REF!</f>
        <v/>
      </c>
      <c r="AE71" s="6">
        <f>#REF!</f>
        <v/>
      </c>
      <c r="AF71" s="6">
        <f>#REF!</f>
        <v/>
      </c>
      <c r="AG71" s="6">
        <f>#REF!</f>
        <v/>
      </c>
      <c r="AH71" s="6">
        <f>#REF!</f>
        <v/>
      </c>
      <c r="AI71" s="5">
        <f>№1!S76</f>
        <v/>
      </c>
      <c r="AJ71" s="5">
        <f>#REF!</f>
        <v/>
      </c>
      <c r="AK71" s="5">
        <f>#REF!</f>
        <v/>
      </c>
      <c r="AL71" s="5">
        <f>#REF!</f>
        <v/>
      </c>
      <c r="AM71" s="5">
        <f>#REF!</f>
        <v/>
      </c>
      <c r="AN71" s="5">
        <f>#REF!</f>
        <v/>
      </c>
      <c r="AO71" s="5">
        <f>#REF!</f>
        <v/>
      </c>
      <c r="AP71" s="5">
        <f>#REF!</f>
        <v/>
      </c>
      <c r="AQ71" s="6">
        <f>№1!T76</f>
        <v/>
      </c>
      <c r="AR71" s="6">
        <f>#REF!</f>
        <v/>
      </c>
      <c r="AS71" s="6">
        <f>#REF!</f>
        <v/>
      </c>
      <c r="AT71" s="6">
        <f>#REF!</f>
        <v/>
      </c>
      <c r="AU71" s="6">
        <f>#REF!</f>
        <v/>
      </c>
      <c r="AV71" s="6">
        <f>#REF!</f>
        <v/>
      </c>
      <c r="AW71" s="6">
        <f>#REF!</f>
        <v/>
      </c>
      <c r="AX71" s="6">
        <f>#REF!</f>
        <v/>
      </c>
    </row>
    <row r="72">
      <c r="A72" s="4">
        <f>#REF!</f>
        <v/>
      </c>
      <c r="B72" s="4">
        <f>A72/1000000000</f>
        <v/>
      </c>
      <c r="C72" s="5">
        <f>№1!U77</f>
        <v/>
      </c>
      <c r="D72" s="5">
        <f>#REF!</f>
        <v/>
      </c>
      <c r="E72" s="5">
        <f>#REF!</f>
        <v/>
      </c>
      <c r="F72" s="5">
        <f>#REF!</f>
        <v/>
      </c>
      <c r="G72" s="5">
        <f>#REF!</f>
        <v/>
      </c>
      <c r="H72" s="5">
        <f>#REF!</f>
        <v/>
      </c>
      <c r="I72" s="5">
        <f>#REF!</f>
        <v/>
      </c>
      <c r="J72" s="5">
        <f>#REF!</f>
        <v/>
      </c>
      <c r="K72" s="6">
        <f>№1!P77</f>
        <v/>
      </c>
      <c r="L72" s="6">
        <f>#REF!</f>
        <v/>
      </c>
      <c r="M72" s="6">
        <f>#REF!</f>
        <v/>
      </c>
      <c r="N72" s="6">
        <f>#REF!</f>
        <v/>
      </c>
      <c r="O72" s="6">
        <f>#REF!</f>
        <v/>
      </c>
      <c r="P72" s="6">
        <f>#REF!</f>
        <v/>
      </c>
      <c r="Q72" s="6">
        <f>#REF!</f>
        <v/>
      </c>
      <c r="R72" s="6">
        <f>#REF!</f>
        <v/>
      </c>
      <c r="S72" s="5">
        <f>№1!R77</f>
        <v/>
      </c>
      <c r="T72" s="5">
        <f>#REF!</f>
        <v/>
      </c>
      <c r="U72" s="5">
        <f>#REF!</f>
        <v/>
      </c>
      <c r="V72" s="5">
        <f>#REF!</f>
        <v/>
      </c>
      <c r="W72" s="5">
        <f>#REF!</f>
        <v/>
      </c>
      <c r="X72" s="5">
        <f>#REF!</f>
        <v/>
      </c>
      <c r="Y72" s="5">
        <f>#REF!</f>
        <v/>
      </c>
      <c r="Z72" s="5">
        <f>#REF!</f>
        <v/>
      </c>
      <c r="AA72" s="6">
        <f>№1!Q77</f>
        <v/>
      </c>
      <c r="AB72" s="6">
        <f>#REF!</f>
        <v/>
      </c>
      <c r="AC72" s="6">
        <f>#REF!</f>
        <v/>
      </c>
      <c r="AD72" s="6">
        <f>#REF!</f>
        <v/>
      </c>
      <c r="AE72" s="6">
        <f>#REF!</f>
        <v/>
      </c>
      <c r="AF72" s="6">
        <f>#REF!</f>
        <v/>
      </c>
      <c r="AG72" s="6">
        <f>#REF!</f>
        <v/>
      </c>
      <c r="AH72" s="6">
        <f>#REF!</f>
        <v/>
      </c>
      <c r="AI72" s="5">
        <f>№1!S77</f>
        <v/>
      </c>
      <c r="AJ72" s="5">
        <f>#REF!</f>
        <v/>
      </c>
      <c r="AK72" s="5">
        <f>#REF!</f>
        <v/>
      </c>
      <c r="AL72" s="5">
        <f>#REF!</f>
        <v/>
      </c>
      <c r="AM72" s="5">
        <f>#REF!</f>
        <v/>
      </c>
      <c r="AN72" s="5">
        <f>#REF!</f>
        <v/>
      </c>
      <c r="AO72" s="5">
        <f>#REF!</f>
        <v/>
      </c>
      <c r="AP72" s="5">
        <f>#REF!</f>
        <v/>
      </c>
      <c r="AQ72" s="6">
        <f>№1!T77</f>
        <v/>
      </c>
      <c r="AR72" s="6">
        <f>#REF!</f>
        <v/>
      </c>
      <c r="AS72" s="6">
        <f>#REF!</f>
        <v/>
      </c>
      <c r="AT72" s="6">
        <f>#REF!</f>
        <v/>
      </c>
      <c r="AU72" s="6">
        <f>#REF!</f>
        <v/>
      </c>
      <c r="AV72" s="6">
        <f>#REF!</f>
        <v/>
      </c>
      <c r="AW72" s="6">
        <f>#REF!</f>
        <v/>
      </c>
      <c r="AX72" s="6">
        <f>#REF!</f>
        <v/>
      </c>
    </row>
    <row r="73">
      <c r="A73" s="3">
        <f>#REF!</f>
        <v/>
      </c>
      <c r="B73" s="4">
        <f>A73/1000000000</f>
        <v/>
      </c>
      <c r="C73" s="5">
        <f>№1!U78</f>
        <v/>
      </c>
      <c r="D73" s="5">
        <f>#REF!</f>
        <v/>
      </c>
      <c r="E73" s="5">
        <f>#REF!</f>
        <v/>
      </c>
      <c r="F73" s="5">
        <f>#REF!</f>
        <v/>
      </c>
      <c r="G73" s="5">
        <f>#REF!</f>
        <v/>
      </c>
      <c r="H73" s="5">
        <f>#REF!</f>
        <v/>
      </c>
      <c r="I73" s="5">
        <f>#REF!</f>
        <v/>
      </c>
      <c r="J73" s="5">
        <f>#REF!</f>
        <v/>
      </c>
      <c r="K73" s="6">
        <f>№1!P78</f>
        <v/>
      </c>
      <c r="L73" s="6">
        <f>#REF!</f>
        <v/>
      </c>
      <c r="M73" s="6">
        <f>#REF!</f>
        <v/>
      </c>
      <c r="N73" s="6">
        <f>#REF!</f>
        <v/>
      </c>
      <c r="O73" s="6">
        <f>#REF!</f>
        <v/>
      </c>
      <c r="P73" s="6">
        <f>#REF!</f>
        <v/>
      </c>
      <c r="Q73" s="6">
        <f>#REF!</f>
        <v/>
      </c>
      <c r="R73" s="6">
        <f>#REF!</f>
        <v/>
      </c>
      <c r="S73" s="5">
        <f>№1!R78</f>
        <v/>
      </c>
      <c r="T73" s="5">
        <f>#REF!</f>
        <v/>
      </c>
      <c r="U73" s="5">
        <f>#REF!</f>
        <v/>
      </c>
      <c r="V73" s="5">
        <f>#REF!</f>
        <v/>
      </c>
      <c r="W73" s="5">
        <f>#REF!</f>
        <v/>
      </c>
      <c r="X73" s="5">
        <f>#REF!</f>
        <v/>
      </c>
      <c r="Y73" s="5">
        <f>#REF!</f>
        <v/>
      </c>
      <c r="Z73" s="5">
        <f>#REF!</f>
        <v/>
      </c>
      <c r="AA73" s="6">
        <f>№1!Q78</f>
        <v/>
      </c>
      <c r="AB73" s="6">
        <f>#REF!</f>
        <v/>
      </c>
      <c r="AC73" s="6">
        <f>#REF!</f>
        <v/>
      </c>
      <c r="AD73" s="6">
        <f>#REF!</f>
        <v/>
      </c>
      <c r="AE73" s="6">
        <f>#REF!</f>
        <v/>
      </c>
      <c r="AF73" s="6">
        <f>#REF!</f>
        <v/>
      </c>
      <c r="AG73" s="6">
        <f>#REF!</f>
        <v/>
      </c>
      <c r="AH73" s="6">
        <f>#REF!</f>
        <v/>
      </c>
      <c r="AI73" s="5">
        <f>№1!S78</f>
        <v/>
      </c>
      <c r="AJ73" s="5">
        <f>#REF!</f>
        <v/>
      </c>
      <c r="AK73" s="5">
        <f>#REF!</f>
        <v/>
      </c>
      <c r="AL73" s="5">
        <f>#REF!</f>
        <v/>
      </c>
      <c r="AM73" s="5">
        <f>#REF!</f>
        <v/>
      </c>
      <c r="AN73" s="5">
        <f>#REF!</f>
        <v/>
      </c>
      <c r="AO73" s="5">
        <f>#REF!</f>
        <v/>
      </c>
      <c r="AP73" s="5">
        <f>#REF!</f>
        <v/>
      </c>
      <c r="AQ73" s="6">
        <f>№1!T78</f>
        <v/>
      </c>
      <c r="AR73" s="6">
        <f>#REF!</f>
        <v/>
      </c>
      <c r="AS73" s="6">
        <f>#REF!</f>
        <v/>
      </c>
      <c r="AT73" s="6">
        <f>#REF!</f>
        <v/>
      </c>
      <c r="AU73" s="6">
        <f>#REF!</f>
        <v/>
      </c>
      <c r="AV73" s="6">
        <f>#REF!</f>
        <v/>
      </c>
      <c r="AW73" s="6">
        <f>#REF!</f>
        <v/>
      </c>
      <c r="AX73" s="6">
        <f>#REF!</f>
        <v/>
      </c>
    </row>
    <row r="74">
      <c r="A74" s="4">
        <f>#REF!</f>
        <v/>
      </c>
      <c r="B74" s="4">
        <f>A74/1000000000</f>
        <v/>
      </c>
      <c r="C74" s="5">
        <f>№1!U79</f>
        <v/>
      </c>
      <c r="D74" s="5">
        <f>#REF!</f>
        <v/>
      </c>
      <c r="E74" s="5">
        <f>#REF!</f>
        <v/>
      </c>
      <c r="F74" s="5">
        <f>#REF!</f>
        <v/>
      </c>
      <c r="G74" s="5">
        <f>#REF!</f>
        <v/>
      </c>
      <c r="H74" s="5">
        <f>#REF!</f>
        <v/>
      </c>
      <c r="I74" s="5">
        <f>#REF!</f>
        <v/>
      </c>
      <c r="J74" s="5">
        <f>#REF!</f>
        <v/>
      </c>
      <c r="K74" s="6">
        <f>№1!P79</f>
        <v/>
      </c>
      <c r="L74" s="6">
        <f>#REF!</f>
        <v/>
      </c>
      <c r="M74" s="6">
        <f>#REF!</f>
        <v/>
      </c>
      <c r="N74" s="6">
        <f>#REF!</f>
        <v/>
      </c>
      <c r="O74" s="6">
        <f>#REF!</f>
        <v/>
      </c>
      <c r="P74" s="6">
        <f>#REF!</f>
        <v/>
      </c>
      <c r="Q74" s="6">
        <f>#REF!</f>
        <v/>
      </c>
      <c r="R74" s="6">
        <f>#REF!</f>
        <v/>
      </c>
      <c r="S74" s="5">
        <f>№1!R79</f>
        <v/>
      </c>
      <c r="T74" s="5">
        <f>#REF!</f>
        <v/>
      </c>
      <c r="U74" s="5">
        <f>#REF!</f>
        <v/>
      </c>
      <c r="V74" s="5">
        <f>#REF!</f>
        <v/>
      </c>
      <c r="W74" s="5">
        <f>#REF!</f>
        <v/>
      </c>
      <c r="X74" s="5">
        <f>#REF!</f>
        <v/>
      </c>
      <c r="Y74" s="5">
        <f>#REF!</f>
        <v/>
      </c>
      <c r="Z74" s="5">
        <f>#REF!</f>
        <v/>
      </c>
      <c r="AA74" s="6">
        <f>№1!Q79</f>
        <v/>
      </c>
      <c r="AB74" s="6">
        <f>#REF!</f>
        <v/>
      </c>
      <c r="AC74" s="6">
        <f>#REF!</f>
        <v/>
      </c>
      <c r="AD74" s="6">
        <f>#REF!</f>
        <v/>
      </c>
      <c r="AE74" s="6">
        <f>#REF!</f>
        <v/>
      </c>
      <c r="AF74" s="6">
        <f>#REF!</f>
        <v/>
      </c>
      <c r="AG74" s="6">
        <f>#REF!</f>
        <v/>
      </c>
      <c r="AH74" s="6">
        <f>#REF!</f>
        <v/>
      </c>
      <c r="AI74" s="5">
        <f>№1!S79</f>
        <v/>
      </c>
      <c r="AJ74" s="5">
        <f>#REF!</f>
        <v/>
      </c>
      <c r="AK74" s="5">
        <f>#REF!</f>
        <v/>
      </c>
      <c r="AL74" s="5">
        <f>#REF!</f>
        <v/>
      </c>
      <c r="AM74" s="5">
        <f>#REF!</f>
        <v/>
      </c>
      <c r="AN74" s="5">
        <f>#REF!</f>
        <v/>
      </c>
      <c r="AO74" s="5">
        <f>#REF!</f>
        <v/>
      </c>
      <c r="AP74" s="5">
        <f>#REF!</f>
        <v/>
      </c>
      <c r="AQ74" s="6">
        <f>№1!T79</f>
        <v/>
      </c>
      <c r="AR74" s="6">
        <f>#REF!</f>
        <v/>
      </c>
      <c r="AS74" s="6">
        <f>#REF!</f>
        <v/>
      </c>
      <c r="AT74" s="6">
        <f>#REF!</f>
        <v/>
      </c>
      <c r="AU74" s="6">
        <f>#REF!</f>
        <v/>
      </c>
      <c r="AV74" s="6">
        <f>#REF!</f>
        <v/>
      </c>
      <c r="AW74" s="6">
        <f>#REF!</f>
        <v/>
      </c>
      <c r="AX74" s="6">
        <f>#REF!</f>
        <v/>
      </c>
    </row>
    <row r="75">
      <c r="A75" s="3">
        <f>#REF!</f>
        <v/>
      </c>
      <c r="B75" s="4">
        <f>A75/1000000000</f>
        <v/>
      </c>
      <c r="C75" s="5">
        <f>№1!U80</f>
        <v/>
      </c>
      <c r="D75" s="5">
        <f>#REF!</f>
        <v/>
      </c>
      <c r="E75" s="5">
        <f>#REF!</f>
        <v/>
      </c>
      <c r="F75" s="5">
        <f>#REF!</f>
        <v/>
      </c>
      <c r="G75" s="5">
        <f>#REF!</f>
        <v/>
      </c>
      <c r="H75" s="5">
        <f>#REF!</f>
        <v/>
      </c>
      <c r="I75" s="5">
        <f>#REF!</f>
        <v/>
      </c>
      <c r="J75" s="5">
        <f>#REF!</f>
        <v/>
      </c>
      <c r="K75" s="6">
        <f>№1!P80</f>
        <v/>
      </c>
      <c r="L75" s="6">
        <f>#REF!</f>
        <v/>
      </c>
      <c r="M75" s="6">
        <f>#REF!</f>
        <v/>
      </c>
      <c r="N75" s="6">
        <f>#REF!</f>
        <v/>
      </c>
      <c r="O75" s="6">
        <f>#REF!</f>
        <v/>
      </c>
      <c r="P75" s="6">
        <f>#REF!</f>
        <v/>
      </c>
      <c r="Q75" s="6">
        <f>#REF!</f>
        <v/>
      </c>
      <c r="R75" s="6">
        <f>#REF!</f>
        <v/>
      </c>
      <c r="S75" s="5">
        <f>№1!R80</f>
        <v/>
      </c>
      <c r="T75" s="5">
        <f>#REF!</f>
        <v/>
      </c>
      <c r="U75" s="5">
        <f>#REF!</f>
        <v/>
      </c>
      <c r="V75" s="5">
        <f>#REF!</f>
        <v/>
      </c>
      <c r="W75" s="5">
        <f>#REF!</f>
        <v/>
      </c>
      <c r="X75" s="5">
        <f>#REF!</f>
        <v/>
      </c>
      <c r="Y75" s="5">
        <f>#REF!</f>
        <v/>
      </c>
      <c r="Z75" s="5">
        <f>#REF!</f>
        <v/>
      </c>
      <c r="AA75" s="6">
        <f>№1!Q80</f>
        <v/>
      </c>
      <c r="AB75" s="6">
        <f>#REF!</f>
        <v/>
      </c>
      <c r="AC75" s="6">
        <f>#REF!</f>
        <v/>
      </c>
      <c r="AD75" s="6">
        <f>#REF!</f>
        <v/>
      </c>
      <c r="AE75" s="6">
        <f>#REF!</f>
        <v/>
      </c>
      <c r="AF75" s="6">
        <f>#REF!</f>
        <v/>
      </c>
      <c r="AG75" s="6">
        <f>#REF!</f>
        <v/>
      </c>
      <c r="AH75" s="6">
        <f>#REF!</f>
        <v/>
      </c>
      <c r="AI75" s="5">
        <f>№1!S80</f>
        <v/>
      </c>
      <c r="AJ75" s="5">
        <f>#REF!</f>
        <v/>
      </c>
      <c r="AK75" s="5">
        <f>#REF!</f>
        <v/>
      </c>
      <c r="AL75" s="5">
        <f>#REF!</f>
        <v/>
      </c>
      <c r="AM75" s="5">
        <f>#REF!</f>
        <v/>
      </c>
      <c r="AN75" s="5">
        <f>#REF!</f>
        <v/>
      </c>
      <c r="AO75" s="5">
        <f>#REF!</f>
        <v/>
      </c>
      <c r="AP75" s="5">
        <f>#REF!</f>
        <v/>
      </c>
      <c r="AQ75" s="6">
        <f>№1!T80</f>
        <v/>
      </c>
      <c r="AR75" s="6">
        <f>#REF!</f>
        <v/>
      </c>
      <c r="AS75" s="6">
        <f>#REF!</f>
        <v/>
      </c>
      <c r="AT75" s="6">
        <f>#REF!</f>
        <v/>
      </c>
      <c r="AU75" s="6">
        <f>#REF!</f>
        <v/>
      </c>
      <c r="AV75" s="6">
        <f>#REF!</f>
        <v/>
      </c>
      <c r="AW75" s="6">
        <f>#REF!</f>
        <v/>
      </c>
      <c r="AX75" s="6">
        <f>#REF!</f>
        <v/>
      </c>
    </row>
    <row r="76">
      <c r="A76" s="4">
        <f>#REF!</f>
        <v/>
      </c>
      <c r="B76" s="4">
        <f>A76/1000000000</f>
        <v/>
      </c>
      <c r="C76" s="5">
        <f>№1!U81</f>
        <v/>
      </c>
      <c r="D76" s="5">
        <f>#REF!</f>
        <v/>
      </c>
      <c r="E76" s="5">
        <f>#REF!</f>
        <v/>
      </c>
      <c r="F76" s="5">
        <f>#REF!</f>
        <v/>
      </c>
      <c r="G76" s="5">
        <f>#REF!</f>
        <v/>
      </c>
      <c r="H76" s="5">
        <f>#REF!</f>
        <v/>
      </c>
      <c r="I76" s="5">
        <f>#REF!</f>
        <v/>
      </c>
      <c r="J76" s="5">
        <f>#REF!</f>
        <v/>
      </c>
      <c r="K76" s="6">
        <f>№1!P81</f>
        <v/>
      </c>
      <c r="L76" s="6">
        <f>#REF!</f>
        <v/>
      </c>
      <c r="M76" s="6">
        <f>#REF!</f>
        <v/>
      </c>
      <c r="N76" s="6">
        <f>#REF!</f>
        <v/>
      </c>
      <c r="O76" s="6">
        <f>#REF!</f>
        <v/>
      </c>
      <c r="P76" s="6">
        <f>#REF!</f>
        <v/>
      </c>
      <c r="Q76" s="6">
        <f>#REF!</f>
        <v/>
      </c>
      <c r="R76" s="6">
        <f>#REF!</f>
        <v/>
      </c>
      <c r="S76" s="5">
        <f>№1!R81</f>
        <v/>
      </c>
      <c r="T76" s="5">
        <f>#REF!</f>
        <v/>
      </c>
      <c r="U76" s="5">
        <f>#REF!</f>
        <v/>
      </c>
      <c r="V76" s="5">
        <f>#REF!</f>
        <v/>
      </c>
      <c r="W76" s="5">
        <f>#REF!</f>
        <v/>
      </c>
      <c r="X76" s="5">
        <f>#REF!</f>
        <v/>
      </c>
      <c r="Y76" s="5">
        <f>#REF!</f>
        <v/>
      </c>
      <c r="Z76" s="5">
        <f>#REF!</f>
        <v/>
      </c>
      <c r="AA76" s="6">
        <f>№1!Q81</f>
        <v/>
      </c>
      <c r="AB76" s="6">
        <f>#REF!</f>
        <v/>
      </c>
      <c r="AC76" s="6">
        <f>#REF!</f>
        <v/>
      </c>
      <c r="AD76" s="6">
        <f>#REF!</f>
        <v/>
      </c>
      <c r="AE76" s="6">
        <f>#REF!</f>
        <v/>
      </c>
      <c r="AF76" s="6">
        <f>#REF!</f>
        <v/>
      </c>
      <c r="AG76" s="6">
        <f>#REF!</f>
        <v/>
      </c>
      <c r="AH76" s="6">
        <f>#REF!</f>
        <v/>
      </c>
      <c r="AI76" s="5">
        <f>№1!S81</f>
        <v/>
      </c>
      <c r="AJ76" s="5">
        <f>#REF!</f>
        <v/>
      </c>
      <c r="AK76" s="5">
        <f>#REF!</f>
        <v/>
      </c>
      <c r="AL76" s="5">
        <f>#REF!</f>
        <v/>
      </c>
      <c r="AM76" s="5">
        <f>#REF!</f>
        <v/>
      </c>
      <c r="AN76" s="5">
        <f>#REF!</f>
        <v/>
      </c>
      <c r="AO76" s="5">
        <f>#REF!</f>
        <v/>
      </c>
      <c r="AP76" s="5">
        <f>#REF!</f>
        <v/>
      </c>
      <c r="AQ76" s="6">
        <f>№1!T81</f>
        <v/>
      </c>
      <c r="AR76" s="6">
        <f>#REF!</f>
        <v/>
      </c>
      <c r="AS76" s="6">
        <f>#REF!</f>
        <v/>
      </c>
      <c r="AT76" s="6">
        <f>#REF!</f>
        <v/>
      </c>
      <c r="AU76" s="6">
        <f>#REF!</f>
        <v/>
      </c>
      <c r="AV76" s="6">
        <f>#REF!</f>
        <v/>
      </c>
      <c r="AW76" s="6">
        <f>#REF!</f>
        <v/>
      </c>
      <c r="AX76" s="6">
        <f>#REF!</f>
        <v/>
      </c>
    </row>
    <row r="77">
      <c r="A77" s="3">
        <f>#REF!</f>
        <v/>
      </c>
      <c r="B77" s="4">
        <f>A77/1000000000</f>
        <v/>
      </c>
      <c r="C77" s="5">
        <f>№1!U82</f>
        <v/>
      </c>
      <c r="D77" s="5">
        <f>#REF!</f>
        <v/>
      </c>
      <c r="E77" s="5">
        <f>#REF!</f>
        <v/>
      </c>
      <c r="F77" s="5">
        <f>#REF!</f>
        <v/>
      </c>
      <c r="G77" s="5">
        <f>#REF!</f>
        <v/>
      </c>
      <c r="H77" s="5">
        <f>#REF!</f>
        <v/>
      </c>
      <c r="I77" s="5">
        <f>#REF!</f>
        <v/>
      </c>
      <c r="J77" s="5">
        <f>#REF!</f>
        <v/>
      </c>
      <c r="K77" s="6">
        <f>№1!P82</f>
        <v/>
      </c>
      <c r="L77" s="6">
        <f>#REF!</f>
        <v/>
      </c>
      <c r="M77" s="6">
        <f>#REF!</f>
        <v/>
      </c>
      <c r="N77" s="6">
        <f>#REF!</f>
        <v/>
      </c>
      <c r="O77" s="6">
        <f>#REF!</f>
        <v/>
      </c>
      <c r="P77" s="6">
        <f>#REF!</f>
        <v/>
      </c>
      <c r="Q77" s="6">
        <f>#REF!</f>
        <v/>
      </c>
      <c r="R77" s="6">
        <f>#REF!</f>
        <v/>
      </c>
      <c r="S77" s="5">
        <f>№1!R82</f>
        <v/>
      </c>
      <c r="T77" s="5">
        <f>#REF!</f>
        <v/>
      </c>
      <c r="U77" s="5">
        <f>#REF!</f>
        <v/>
      </c>
      <c r="V77" s="5">
        <f>#REF!</f>
        <v/>
      </c>
      <c r="W77" s="5">
        <f>#REF!</f>
        <v/>
      </c>
      <c r="X77" s="5">
        <f>#REF!</f>
        <v/>
      </c>
      <c r="Y77" s="5">
        <f>#REF!</f>
        <v/>
      </c>
      <c r="Z77" s="5">
        <f>#REF!</f>
        <v/>
      </c>
      <c r="AA77" s="6">
        <f>№1!Q82</f>
        <v/>
      </c>
      <c r="AB77" s="6">
        <f>#REF!</f>
        <v/>
      </c>
      <c r="AC77" s="6">
        <f>#REF!</f>
        <v/>
      </c>
      <c r="AD77" s="6">
        <f>#REF!</f>
        <v/>
      </c>
      <c r="AE77" s="6">
        <f>#REF!</f>
        <v/>
      </c>
      <c r="AF77" s="6">
        <f>#REF!</f>
        <v/>
      </c>
      <c r="AG77" s="6">
        <f>#REF!</f>
        <v/>
      </c>
      <c r="AH77" s="6">
        <f>#REF!</f>
        <v/>
      </c>
      <c r="AI77" s="5">
        <f>№1!S82</f>
        <v/>
      </c>
      <c r="AJ77" s="5">
        <f>#REF!</f>
        <v/>
      </c>
      <c r="AK77" s="5">
        <f>#REF!</f>
        <v/>
      </c>
      <c r="AL77" s="5">
        <f>#REF!</f>
        <v/>
      </c>
      <c r="AM77" s="5">
        <f>#REF!</f>
        <v/>
      </c>
      <c r="AN77" s="5">
        <f>#REF!</f>
        <v/>
      </c>
      <c r="AO77" s="5">
        <f>#REF!</f>
        <v/>
      </c>
      <c r="AP77" s="5">
        <f>#REF!</f>
        <v/>
      </c>
      <c r="AQ77" s="6">
        <f>№1!T82</f>
        <v/>
      </c>
      <c r="AR77" s="6">
        <f>#REF!</f>
        <v/>
      </c>
      <c r="AS77" s="6">
        <f>#REF!</f>
        <v/>
      </c>
      <c r="AT77" s="6">
        <f>#REF!</f>
        <v/>
      </c>
      <c r="AU77" s="6">
        <f>#REF!</f>
        <v/>
      </c>
      <c r="AV77" s="6">
        <f>#REF!</f>
        <v/>
      </c>
      <c r="AW77" s="6">
        <f>#REF!</f>
        <v/>
      </c>
      <c r="AX77" s="6">
        <f>#REF!</f>
        <v/>
      </c>
    </row>
    <row r="78">
      <c r="A78" s="4">
        <f>#REF!</f>
        <v/>
      </c>
      <c r="B78" s="4">
        <f>A78/1000000000</f>
        <v/>
      </c>
      <c r="C78" s="5">
        <f>№1!U83</f>
        <v/>
      </c>
      <c r="D78" s="5">
        <f>#REF!</f>
        <v/>
      </c>
      <c r="E78" s="5">
        <f>#REF!</f>
        <v/>
      </c>
      <c r="F78" s="5">
        <f>#REF!</f>
        <v/>
      </c>
      <c r="G78" s="5">
        <f>#REF!</f>
        <v/>
      </c>
      <c r="H78" s="5">
        <f>#REF!</f>
        <v/>
      </c>
      <c r="I78" s="5">
        <f>#REF!</f>
        <v/>
      </c>
      <c r="J78" s="5">
        <f>#REF!</f>
        <v/>
      </c>
      <c r="K78" s="6">
        <f>№1!P83</f>
        <v/>
      </c>
      <c r="L78" s="6">
        <f>#REF!</f>
        <v/>
      </c>
      <c r="M78" s="6">
        <f>#REF!</f>
        <v/>
      </c>
      <c r="N78" s="6">
        <f>#REF!</f>
        <v/>
      </c>
      <c r="O78" s="6">
        <f>#REF!</f>
        <v/>
      </c>
      <c r="P78" s="6">
        <f>#REF!</f>
        <v/>
      </c>
      <c r="Q78" s="6">
        <f>#REF!</f>
        <v/>
      </c>
      <c r="R78" s="6">
        <f>#REF!</f>
        <v/>
      </c>
      <c r="S78" s="5">
        <f>№1!R83</f>
        <v/>
      </c>
      <c r="T78" s="5">
        <f>#REF!</f>
        <v/>
      </c>
      <c r="U78" s="5">
        <f>#REF!</f>
        <v/>
      </c>
      <c r="V78" s="5">
        <f>#REF!</f>
        <v/>
      </c>
      <c r="W78" s="5">
        <f>#REF!</f>
        <v/>
      </c>
      <c r="X78" s="5">
        <f>#REF!</f>
        <v/>
      </c>
      <c r="Y78" s="5">
        <f>#REF!</f>
        <v/>
      </c>
      <c r="Z78" s="5">
        <f>#REF!</f>
        <v/>
      </c>
      <c r="AA78" s="6">
        <f>№1!Q83</f>
        <v/>
      </c>
      <c r="AB78" s="6">
        <f>#REF!</f>
        <v/>
      </c>
      <c r="AC78" s="6">
        <f>#REF!</f>
        <v/>
      </c>
      <c r="AD78" s="6">
        <f>#REF!</f>
        <v/>
      </c>
      <c r="AE78" s="6">
        <f>#REF!</f>
        <v/>
      </c>
      <c r="AF78" s="6">
        <f>#REF!</f>
        <v/>
      </c>
      <c r="AG78" s="6">
        <f>#REF!</f>
        <v/>
      </c>
      <c r="AH78" s="6">
        <f>#REF!</f>
        <v/>
      </c>
      <c r="AI78" s="5">
        <f>№1!S83</f>
        <v/>
      </c>
      <c r="AJ78" s="5">
        <f>#REF!</f>
        <v/>
      </c>
      <c r="AK78" s="5">
        <f>#REF!</f>
        <v/>
      </c>
      <c r="AL78" s="5">
        <f>#REF!</f>
        <v/>
      </c>
      <c r="AM78" s="5">
        <f>#REF!</f>
        <v/>
      </c>
      <c r="AN78" s="5">
        <f>#REF!</f>
        <v/>
      </c>
      <c r="AO78" s="5">
        <f>#REF!</f>
        <v/>
      </c>
      <c r="AP78" s="5">
        <f>#REF!</f>
        <v/>
      </c>
      <c r="AQ78" s="6">
        <f>№1!T83</f>
        <v/>
      </c>
      <c r="AR78" s="6">
        <f>#REF!</f>
        <v/>
      </c>
      <c r="AS78" s="6">
        <f>#REF!</f>
        <v/>
      </c>
      <c r="AT78" s="6">
        <f>#REF!</f>
        <v/>
      </c>
      <c r="AU78" s="6">
        <f>#REF!</f>
        <v/>
      </c>
      <c r="AV78" s="6">
        <f>#REF!</f>
        <v/>
      </c>
      <c r="AW78" s="6">
        <f>#REF!</f>
        <v/>
      </c>
      <c r="AX78" s="6">
        <f>#REF!</f>
        <v/>
      </c>
    </row>
    <row r="79">
      <c r="A79" s="3">
        <f>#REF!</f>
        <v/>
      </c>
      <c r="B79" s="4">
        <f>A79/1000000000</f>
        <v/>
      </c>
      <c r="C79" s="5">
        <f>№1!U84</f>
        <v/>
      </c>
      <c r="D79" s="5">
        <f>#REF!</f>
        <v/>
      </c>
      <c r="E79" s="5">
        <f>#REF!</f>
        <v/>
      </c>
      <c r="F79" s="5">
        <f>#REF!</f>
        <v/>
      </c>
      <c r="G79" s="5">
        <f>#REF!</f>
        <v/>
      </c>
      <c r="H79" s="5">
        <f>#REF!</f>
        <v/>
      </c>
      <c r="I79" s="5">
        <f>#REF!</f>
        <v/>
      </c>
      <c r="J79" s="5">
        <f>#REF!</f>
        <v/>
      </c>
      <c r="K79" s="6">
        <f>№1!P84</f>
        <v/>
      </c>
      <c r="L79" s="6">
        <f>#REF!</f>
        <v/>
      </c>
      <c r="M79" s="6">
        <f>#REF!</f>
        <v/>
      </c>
      <c r="N79" s="6">
        <f>#REF!</f>
        <v/>
      </c>
      <c r="O79" s="6">
        <f>#REF!</f>
        <v/>
      </c>
      <c r="P79" s="6">
        <f>#REF!</f>
        <v/>
      </c>
      <c r="Q79" s="6">
        <f>#REF!</f>
        <v/>
      </c>
      <c r="R79" s="6">
        <f>#REF!</f>
        <v/>
      </c>
      <c r="S79" s="5">
        <f>№1!R84</f>
        <v/>
      </c>
      <c r="T79" s="5">
        <f>#REF!</f>
        <v/>
      </c>
      <c r="U79" s="5">
        <f>#REF!</f>
        <v/>
      </c>
      <c r="V79" s="5">
        <f>#REF!</f>
        <v/>
      </c>
      <c r="W79" s="5">
        <f>#REF!</f>
        <v/>
      </c>
      <c r="X79" s="5">
        <f>#REF!</f>
        <v/>
      </c>
      <c r="Y79" s="5">
        <f>#REF!</f>
        <v/>
      </c>
      <c r="Z79" s="5">
        <f>#REF!</f>
        <v/>
      </c>
      <c r="AA79" s="6">
        <f>№1!Q84</f>
        <v/>
      </c>
      <c r="AB79" s="6">
        <f>#REF!</f>
        <v/>
      </c>
      <c r="AC79" s="6">
        <f>#REF!</f>
        <v/>
      </c>
      <c r="AD79" s="6">
        <f>#REF!</f>
        <v/>
      </c>
      <c r="AE79" s="6">
        <f>#REF!</f>
        <v/>
      </c>
      <c r="AF79" s="6">
        <f>#REF!</f>
        <v/>
      </c>
      <c r="AG79" s="6">
        <f>#REF!</f>
        <v/>
      </c>
      <c r="AH79" s="6">
        <f>#REF!</f>
        <v/>
      </c>
      <c r="AI79" s="5">
        <f>№1!S84</f>
        <v/>
      </c>
      <c r="AJ79" s="5">
        <f>#REF!</f>
        <v/>
      </c>
      <c r="AK79" s="5">
        <f>#REF!</f>
        <v/>
      </c>
      <c r="AL79" s="5">
        <f>#REF!</f>
        <v/>
      </c>
      <c r="AM79" s="5">
        <f>#REF!</f>
        <v/>
      </c>
      <c r="AN79" s="5">
        <f>#REF!</f>
        <v/>
      </c>
      <c r="AO79" s="5">
        <f>#REF!</f>
        <v/>
      </c>
      <c r="AP79" s="5">
        <f>#REF!</f>
        <v/>
      </c>
      <c r="AQ79" s="6">
        <f>№1!T84</f>
        <v/>
      </c>
      <c r="AR79" s="6">
        <f>#REF!</f>
        <v/>
      </c>
      <c r="AS79" s="6">
        <f>#REF!</f>
        <v/>
      </c>
      <c r="AT79" s="6">
        <f>#REF!</f>
        <v/>
      </c>
      <c r="AU79" s="6">
        <f>#REF!</f>
        <v/>
      </c>
      <c r="AV79" s="6">
        <f>#REF!</f>
        <v/>
      </c>
      <c r="AW79" s="6">
        <f>#REF!</f>
        <v/>
      </c>
      <c r="AX79" s="6">
        <f>#REF!</f>
        <v/>
      </c>
    </row>
    <row r="80">
      <c r="A80" s="4">
        <f>#REF!</f>
        <v/>
      </c>
      <c r="B80" s="4">
        <f>A80/1000000000</f>
        <v/>
      </c>
      <c r="C80" s="5">
        <f>№1!U85</f>
        <v/>
      </c>
      <c r="D80" s="5">
        <f>#REF!</f>
        <v/>
      </c>
      <c r="E80" s="5">
        <f>#REF!</f>
        <v/>
      </c>
      <c r="F80" s="5">
        <f>#REF!</f>
        <v/>
      </c>
      <c r="G80" s="5">
        <f>#REF!</f>
        <v/>
      </c>
      <c r="H80" s="5">
        <f>#REF!</f>
        <v/>
      </c>
      <c r="I80" s="5">
        <f>#REF!</f>
        <v/>
      </c>
      <c r="J80" s="5">
        <f>#REF!</f>
        <v/>
      </c>
      <c r="K80" s="6">
        <f>№1!P85</f>
        <v/>
      </c>
      <c r="L80" s="6">
        <f>#REF!</f>
        <v/>
      </c>
      <c r="M80" s="6">
        <f>#REF!</f>
        <v/>
      </c>
      <c r="N80" s="6">
        <f>#REF!</f>
        <v/>
      </c>
      <c r="O80" s="6">
        <f>#REF!</f>
        <v/>
      </c>
      <c r="P80" s="6">
        <f>#REF!</f>
        <v/>
      </c>
      <c r="Q80" s="6">
        <f>#REF!</f>
        <v/>
      </c>
      <c r="R80" s="6">
        <f>#REF!</f>
        <v/>
      </c>
      <c r="S80" s="5">
        <f>№1!R85</f>
        <v/>
      </c>
      <c r="T80" s="5">
        <f>#REF!</f>
        <v/>
      </c>
      <c r="U80" s="5">
        <f>#REF!</f>
        <v/>
      </c>
      <c r="V80" s="5">
        <f>#REF!</f>
        <v/>
      </c>
      <c r="W80" s="5">
        <f>#REF!</f>
        <v/>
      </c>
      <c r="X80" s="5">
        <f>#REF!</f>
        <v/>
      </c>
      <c r="Y80" s="5">
        <f>#REF!</f>
        <v/>
      </c>
      <c r="Z80" s="5">
        <f>#REF!</f>
        <v/>
      </c>
      <c r="AA80" s="6">
        <f>№1!Q85</f>
        <v/>
      </c>
      <c r="AB80" s="6">
        <f>#REF!</f>
        <v/>
      </c>
      <c r="AC80" s="6">
        <f>#REF!</f>
        <v/>
      </c>
      <c r="AD80" s="6">
        <f>#REF!</f>
        <v/>
      </c>
      <c r="AE80" s="6">
        <f>#REF!</f>
        <v/>
      </c>
      <c r="AF80" s="6">
        <f>#REF!</f>
        <v/>
      </c>
      <c r="AG80" s="6">
        <f>#REF!</f>
        <v/>
      </c>
      <c r="AH80" s="6">
        <f>#REF!</f>
        <v/>
      </c>
      <c r="AI80" s="5">
        <f>№1!S85</f>
        <v/>
      </c>
      <c r="AJ80" s="5">
        <f>#REF!</f>
        <v/>
      </c>
      <c r="AK80" s="5">
        <f>#REF!</f>
        <v/>
      </c>
      <c r="AL80" s="5">
        <f>#REF!</f>
        <v/>
      </c>
      <c r="AM80" s="5">
        <f>#REF!</f>
        <v/>
      </c>
      <c r="AN80" s="5">
        <f>#REF!</f>
        <v/>
      </c>
      <c r="AO80" s="5">
        <f>#REF!</f>
        <v/>
      </c>
      <c r="AP80" s="5">
        <f>#REF!</f>
        <v/>
      </c>
      <c r="AQ80" s="6">
        <f>№1!T85</f>
        <v/>
      </c>
      <c r="AR80" s="6">
        <f>#REF!</f>
        <v/>
      </c>
      <c r="AS80" s="6">
        <f>#REF!</f>
        <v/>
      </c>
      <c r="AT80" s="6">
        <f>#REF!</f>
        <v/>
      </c>
      <c r="AU80" s="6">
        <f>#REF!</f>
        <v/>
      </c>
      <c r="AV80" s="6">
        <f>#REF!</f>
        <v/>
      </c>
      <c r="AW80" s="6">
        <f>#REF!</f>
        <v/>
      </c>
      <c r="AX80" s="6">
        <f>#REF!</f>
        <v/>
      </c>
    </row>
    <row r="81">
      <c r="A81" s="3">
        <f>#REF!</f>
        <v/>
      </c>
      <c r="B81" s="4">
        <f>A81/1000000000</f>
        <v/>
      </c>
      <c r="C81" s="5">
        <f>№1!U86</f>
        <v/>
      </c>
      <c r="D81" s="5">
        <f>#REF!</f>
        <v/>
      </c>
      <c r="E81" s="5">
        <f>#REF!</f>
        <v/>
      </c>
      <c r="F81" s="5">
        <f>#REF!</f>
        <v/>
      </c>
      <c r="G81" s="5">
        <f>#REF!</f>
        <v/>
      </c>
      <c r="H81" s="5">
        <f>#REF!</f>
        <v/>
      </c>
      <c r="I81" s="5">
        <f>#REF!</f>
        <v/>
      </c>
      <c r="J81" s="5">
        <f>#REF!</f>
        <v/>
      </c>
      <c r="K81" s="6">
        <f>№1!P86</f>
        <v/>
      </c>
      <c r="L81" s="6">
        <f>#REF!</f>
        <v/>
      </c>
      <c r="M81" s="6">
        <f>#REF!</f>
        <v/>
      </c>
      <c r="N81" s="6">
        <f>#REF!</f>
        <v/>
      </c>
      <c r="O81" s="6">
        <f>#REF!</f>
        <v/>
      </c>
      <c r="P81" s="6">
        <f>#REF!</f>
        <v/>
      </c>
      <c r="Q81" s="6">
        <f>#REF!</f>
        <v/>
      </c>
      <c r="R81" s="6">
        <f>#REF!</f>
        <v/>
      </c>
      <c r="S81" s="5">
        <f>№1!R86</f>
        <v/>
      </c>
      <c r="T81" s="5">
        <f>#REF!</f>
        <v/>
      </c>
      <c r="U81" s="5">
        <f>#REF!</f>
        <v/>
      </c>
      <c r="V81" s="5">
        <f>#REF!</f>
        <v/>
      </c>
      <c r="W81" s="5">
        <f>#REF!</f>
        <v/>
      </c>
      <c r="X81" s="5">
        <f>#REF!</f>
        <v/>
      </c>
      <c r="Y81" s="5">
        <f>#REF!</f>
        <v/>
      </c>
      <c r="Z81" s="5">
        <f>#REF!</f>
        <v/>
      </c>
      <c r="AA81" s="6">
        <f>№1!Q86</f>
        <v/>
      </c>
      <c r="AB81" s="6">
        <f>#REF!</f>
        <v/>
      </c>
      <c r="AC81" s="6">
        <f>#REF!</f>
        <v/>
      </c>
      <c r="AD81" s="6">
        <f>#REF!</f>
        <v/>
      </c>
      <c r="AE81" s="6">
        <f>#REF!</f>
        <v/>
      </c>
      <c r="AF81" s="6">
        <f>#REF!</f>
        <v/>
      </c>
      <c r="AG81" s="6">
        <f>#REF!</f>
        <v/>
      </c>
      <c r="AH81" s="6">
        <f>#REF!</f>
        <v/>
      </c>
      <c r="AI81" s="5">
        <f>№1!S86</f>
        <v/>
      </c>
      <c r="AJ81" s="5">
        <f>#REF!</f>
        <v/>
      </c>
      <c r="AK81" s="5">
        <f>#REF!</f>
        <v/>
      </c>
      <c r="AL81" s="5">
        <f>#REF!</f>
        <v/>
      </c>
      <c r="AM81" s="5">
        <f>#REF!</f>
        <v/>
      </c>
      <c r="AN81" s="5">
        <f>#REF!</f>
        <v/>
      </c>
      <c r="AO81" s="5">
        <f>#REF!</f>
        <v/>
      </c>
      <c r="AP81" s="5">
        <f>#REF!</f>
        <v/>
      </c>
      <c r="AQ81" s="6">
        <f>№1!T86</f>
        <v/>
      </c>
      <c r="AR81" s="6">
        <f>#REF!</f>
        <v/>
      </c>
      <c r="AS81" s="6">
        <f>#REF!</f>
        <v/>
      </c>
      <c r="AT81" s="6">
        <f>#REF!</f>
        <v/>
      </c>
      <c r="AU81" s="6">
        <f>#REF!</f>
        <v/>
      </c>
      <c r="AV81" s="6">
        <f>#REF!</f>
        <v/>
      </c>
      <c r="AW81" s="6">
        <f>#REF!</f>
        <v/>
      </c>
      <c r="AX81" s="6">
        <f>#REF!</f>
        <v/>
      </c>
    </row>
    <row r="82">
      <c r="A82" s="4">
        <f>#REF!</f>
        <v/>
      </c>
      <c r="B82" s="4">
        <f>A82/1000000000</f>
        <v/>
      </c>
      <c r="C82" s="5">
        <f>№1!U87</f>
        <v/>
      </c>
      <c r="D82" s="5">
        <f>#REF!</f>
        <v/>
      </c>
      <c r="E82" s="5">
        <f>#REF!</f>
        <v/>
      </c>
      <c r="F82" s="5">
        <f>#REF!</f>
        <v/>
      </c>
      <c r="G82" s="5">
        <f>#REF!</f>
        <v/>
      </c>
      <c r="H82" s="5">
        <f>#REF!</f>
        <v/>
      </c>
      <c r="I82" s="5">
        <f>#REF!</f>
        <v/>
      </c>
      <c r="J82" s="5">
        <f>#REF!</f>
        <v/>
      </c>
      <c r="K82" s="6">
        <f>№1!P87</f>
        <v/>
      </c>
      <c r="L82" s="6">
        <f>#REF!</f>
        <v/>
      </c>
      <c r="M82" s="6">
        <f>#REF!</f>
        <v/>
      </c>
      <c r="N82" s="6">
        <f>#REF!</f>
        <v/>
      </c>
      <c r="O82" s="6">
        <f>#REF!</f>
        <v/>
      </c>
      <c r="P82" s="6">
        <f>#REF!</f>
        <v/>
      </c>
      <c r="Q82" s="6">
        <f>#REF!</f>
        <v/>
      </c>
      <c r="R82" s="6">
        <f>#REF!</f>
        <v/>
      </c>
      <c r="S82" s="5">
        <f>№1!R87</f>
        <v/>
      </c>
      <c r="T82" s="5">
        <f>#REF!</f>
        <v/>
      </c>
      <c r="U82" s="5">
        <f>#REF!</f>
        <v/>
      </c>
      <c r="V82" s="5">
        <f>#REF!</f>
        <v/>
      </c>
      <c r="W82" s="5">
        <f>#REF!</f>
        <v/>
      </c>
      <c r="X82" s="5">
        <f>#REF!</f>
        <v/>
      </c>
      <c r="Y82" s="5">
        <f>#REF!</f>
        <v/>
      </c>
      <c r="Z82" s="5">
        <f>#REF!</f>
        <v/>
      </c>
      <c r="AA82" s="6">
        <f>№1!Q87</f>
        <v/>
      </c>
      <c r="AB82" s="6">
        <f>#REF!</f>
        <v/>
      </c>
      <c r="AC82" s="6">
        <f>#REF!</f>
        <v/>
      </c>
      <c r="AD82" s="6">
        <f>#REF!</f>
        <v/>
      </c>
      <c r="AE82" s="6">
        <f>#REF!</f>
        <v/>
      </c>
      <c r="AF82" s="6">
        <f>#REF!</f>
        <v/>
      </c>
      <c r="AG82" s="6">
        <f>#REF!</f>
        <v/>
      </c>
      <c r="AH82" s="6">
        <f>#REF!</f>
        <v/>
      </c>
      <c r="AI82" s="5">
        <f>№1!S87</f>
        <v/>
      </c>
      <c r="AJ82" s="5">
        <f>#REF!</f>
        <v/>
      </c>
      <c r="AK82" s="5">
        <f>#REF!</f>
        <v/>
      </c>
      <c r="AL82" s="5">
        <f>#REF!</f>
        <v/>
      </c>
      <c r="AM82" s="5">
        <f>#REF!</f>
        <v/>
      </c>
      <c r="AN82" s="5">
        <f>#REF!</f>
        <v/>
      </c>
      <c r="AO82" s="5">
        <f>#REF!</f>
        <v/>
      </c>
      <c r="AP82" s="5">
        <f>#REF!</f>
        <v/>
      </c>
      <c r="AQ82" s="6">
        <f>№1!T87</f>
        <v/>
      </c>
      <c r="AR82" s="6">
        <f>#REF!</f>
        <v/>
      </c>
      <c r="AS82" s="6">
        <f>#REF!</f>
        <v/>
      </c>
      <c r="AT82" s="6">
        <f>#REF!</f>
        <v/>
      </c>
      <c r="AU82" s="6">
        <f>#REF!</f>
        <v/>
      </c>
      <c r="AV82" s="6">
        <f>#REF!</f>
        <v/>
      </c>
      <c r="AW82" s="6">
        <f>#REF!</f>
        <v/>
      </c>
      <c r="AX82" s="6">
        <f>#REF!</f>
        <v/>
      </c>
    </row>
    <row r="83">
      <c r="A83" s="3">
        <f>#REF!</f>
        <v/>
      </c>
      <c r="B83" s="4">
        <f>A83/1000000000</f>
        <v/>
      </c>
      <c r="C83" s="5">
        <f>№1!U88</f>
        <v/>
      </c>
      <c r="D83" s="5">
        <f>#REF!</f>
        <v/>
      </c>
      <c r="E83" s="5">
        <f>#REF!</f>
        <v/>
      </c>
      <c r="F83" s="5">
        <f>#REF!</f>
        <v/>
      </c>
      <c r="G83" s="5">
        <f>#REF!</f>
        <v/>
      </c>
      <c r="H83" s="5">
        <f>#REF!</f>
        <v/>
      </c>
      <c r="I83" s="5">
        <f>#REF!</f>
        <v/>
      </c>
      <c r="J83" s="5">
        <f>#REF!</f>
        <v/>
      </c>
      <c r="K83" s="6">
        <f>№1!P88</f>
        <v/>
      </c>
      <c r="L83" s="6">
        <f>#REF!</f>
        <v/>
      </c>
      <c r="M83" s="6">
        <f>#REF!</f>
        <v/>
      </c>
      <c r="N83" s="6">
        <f>#REF!</f>
        <v/>
      </c>
      <c r="O83" s="6">
        <f>#REF!</f>
        <v/>
      </c>
      <c r="P83" s="6">
        <f>#REF!</f>
        <v/>
      </c>
      <c r="Q83" s="6">
        <f>#REF!</f>
        <v/>
      </c>
      <c r="R83" s="6">
        <f>#REF!</f>
        <v/>
      </c>
      <c r="S83" s="5">
        <f>№1!R88</f>
        <v/>
      </c>
      <c r="T83" s="5">
        <f>#REF!</f>
        <v/>
      </c>
      <c r="U83" s="5">
        <f>#REF!</f>
        <v/>
      </c>
      <c r="V83" s="5">
        <f>#REF!</f>
        <v/>
      </c>
      <c r="W83" s="5">
        <f>#REF!</f>
        <v/>
      </c>
      <c r="X83" s="5">
        <f>#REF!</f>
        <v/>
      </c>
      <c r="Y83" s="5">
        <f>#REF!</f>
        <v/>
      </c>
      <c r="Z83" s="5">
        <f>#REF!</f>
        <v/>
      </c>
      <c r="AA83" s="6">
        <f>№1!Q88</f>
        <v/>
      </c>
      <c r="AB83" s="6">
        <f>#REF!</f>
        <v/>
      </c>
      <c r="AC83" s="6">
        <f>#REF!</f>
        <v/>
      </c>
      <c r="AD83" s="6">
        <f>#REF!</f>
        <v/>
      </c>
      <c r="AE83" s="6">
        <f>#REF!</f>
        <v/>
      </c>
      <c r="AF83" s="6">
        <f>#REF!</f>
        <v/>
      </c>
      <c r="AG83" s="6">
        <f>#REF!</f>
        <v/>
      </c>
      <c r="AH83" s="6">
        <f>#REF!</f>
        <v/>
      </c>
      <c r="AI83" s="5">
        <f>№1!S88</f>
        <v/>
      </c>
      <c r="AJ83" s="5">
        <f>#REF!</f>
        <v/>
      </c>
      <c r="AK83" s="5">
        <f>#REF!</f>
        <v/>
      </c>
      <c r="AL83" s="5">
        <f>#REF!</f>
        <v/>
      </c>
      <c r="AM83" s="5">
        <f>#REF!</f>
        <v/>
      </c>
      <c r="AN83" s="5">
        <f>#REF!</f>
        <v/>
      </c>
      <c r="AO83" s="5">
        <f>#REF!</f>
        <v/>
      </c>
      <c r="AP83" s="5">
        <f>#REF!</f>
        <v/>
      </c>
      <c r="AQ83" s="6">
        <f>№1!T88</f>
        <v/>
      </c>
      <c r="AR83" s="6">
        <f>#REF!</f>
        <v/>
      </c>
      <c r="AS83" s="6">
        <f>#REF!</f>
        <v/>
      </c>
      <c r="AT83" s="6">
        <f>#REF!</f>
        <v/>
      </c>
      <c r="AU83" s="6">
        <f>#REF!</f>
        <v/>
      </c>
      <c r="AV83" s="6">
        <f>#REF!</f>
        <v/>
      </c>
      <c r="AW83" s="6">
        <f>#REF!</f>
        <v/>
      </c>
      <c r="AX83" s="6">
        <f>#REF!</f>
        <v/>
      </c>
    </row>
    <row r="84">
      <c r="A84" s="4">
        <f>#REF!</f>
        <v/>
      </c>
      <c r="B84" s="4">
        <f>A84/1000000000</f>
        <v/>
      </c>
      <c r="C84" s="5">
        <f>№1!U89</f>
        <v/>
      </c>
      <c r="D84" s="5">
        <f>#REF!</f>
        <v/>
      </c>
      <c r="E84" s="5">
        <f>#REF!</f>
        <v/>
      </c>
      <c r="F84" s="5">
        <f>#REF!</f>
        <v/>
      </c>
      <c r="G84" s="5">
        <f>#REF!</f>
        <v/>
      </c>
      <c r="H84" s="5">
        <f>#REF!</f>
        <v/>
      </c>
      <c r="I84" s="5">
        <f>#REF!</f>
        <v/>
      </c>
      <c r="J84" s="5">
        <f>#REF!</f>
        <v/>
      </c>
      <c r="K84" s="6">
        <f>№1!P89</f>
        <v/>
      </c>
      <c r="L84" s="6">
        <f>#REF!</f>
        <v/>
      </c>
      <c r="M84" s="6">
        <f>#REF!</f>
        <v/>
      </c>
      <c r="N84" s="6">
        <f>#REF!</f>
        <v/>
      </c>
      <c r="O84" s="6">
        <f>#REF!</f>
        <v/>
      </c>
      <c r="P84" s="6">
        <f>#REF!</f>
        <v/>
      </c>
      <c r="Q84" s="6">
        <f>#REF!</f>
        <v/>
      </c>
      <c r="R84" s="6">
        <f>#REF!</f>
        <v/>
      </c>
      <c r="S84" s="5">
        <f>№1!R89</f>
        <v/>
      </c>
      <c r="T84" s="5">
        <f>#REF!</f>
        <v/>
      </c>
      <c r="U84" s="5">
        <f>#REF!</f>
        <v/>
      </c>
      <c r="V84" s="5">
        <f>#REF!</f>
        <v/>
      </c>
      <c r="W84" s="5">
        <f>#REF!</f>
        <v/>
      </c>
      <c r="X84" s="5">
        <f>#REF!</f>
        <v/>
      </c>
      <c r="Y84" s="5">
        <f>#REF!</f>
        <v/>
      </c>
      <c r="Z84" s="5">
        <f>#REF!</f>
        <v/>
      </c>
      <c r="AA84" s="6">
        <f>№1!Q89</f>
        <v/>
      </c>
      <c r="AB84" s="6">
        <f>#REF!</f>
        <v/>
      </c>
      <c r="AC84" s="6">
        <f>#REF!</f>
        <v/>
      </c>
      <c r="AD84" s="6">
        <f>#REF!</f>
        <v/>
      </c>
      <c r="AE84" s="6">
        <f>#REF!</f>
        <v/>
      </c>
      <c r="AF84" s="6">
        <f>#REF!</f>
        <v/>
      </c>
      <c r="AG84" s="6">
        <f>#REF!</f>
        <v/>
      </c>
      <c r="AH84" s="6">
        <f>#REF!</f>
        <v/>
      </c>
      <c r="AI84" s="5">
        <f>№1!S89</f>
        <v/>
      </c>
      <c r="AJ84" s="5">
        <f>#REF!</f>
        <v/>
      </c>
      <c r="AK84" s="5">
        <f>#REF!</f>
        <v/>
      </c>
      <c r="AL84" s="5">
        <f>#REF!</f>
        <v/>
      </c>
      <c r="AM84" s="5">
        <f>#REF!</f>
        <v/>
      </c>
      <c r="AN84" s="5">
        <f>#REF!</f>
        <v/>
      </c>
      <c r="AO84" s="5">
        <f>#REF!</f>
        <v/>
      </c>
      <c r="AP84" s="5">
        <f>#REF!</f>
        <v/>
      </c>
      <c r="AQ84" s="6">
        <f>№1!T89</f>
        <v/>
      </c>
      <c r="AR84" s="6">
        <f>#REF!</f>
        <v/>
      </c>
      <c r="AS84" s="6">
        <f>#REF!</f>
        <v/>
      </c>
      <c r="AT84" s="6">
        <f>#REF!</f>
        <v/>
      </c>
      <c r="AU84" s="6">
        <f>#REF!</f>
        <v/>
      </c>
      <c r="AV84" s="6">
        <f>#REF!</f>
        <v/>
      </c>
      <c r="AW84" s="6">
        <f>#REF!</f>
        <v/>
      </c>
      <c r="AX84" s="6">
        <f>#REF!</f>
        <v/>
      </c>
    </row>
    <row r="85">
      <c r="A85" s="3">
        <f>#REF!</f>
        <v/>
      </c>
      <c r="B85" s="4">
        <f>A85/1000000000</f>
        <v/>
      </c>
      <c r="C85" s="5">
        <f>№1!U90</f>
        <v/>
      </c>
      <c r="D85" s="5">
        <f>#REF!</f>
        <v/>
      </c>
      <c r="E85" s="5">
        <f>#REF!</f>
        <v/>
      </c>
      <c r="F85" s="5">
        <f>#REF!</f>
        <v/>
      </c>
      <c r="G85" s="5">
        <f>#REF!</f>
        <v/>
      </c>
      <c r="H85" s="5">
        <f>#REF!</f>
        <v/>
      </c>
      <c r="I85" s="5">
        <f>#REF!</f>
        <v/>
      </c>
      <c r="J85" s="5">
        <f>#REF!</f>
        <v/>
      </c>
      <c r="K85" s="6">
        <f>№1!P90</f>
        <v/>
      </c>
      <c r="L85" s="6">
        <f>#REF!</f>
        <v/>
      </c>
      <c r="M85" s="6">
        <f>#REF!</f>
        <v/>
      </c>
      <c r="N85" s="6">
        <f>#REF!</f>
        <v/>
      </c>
      <c r="O85" s="6">
        <f>#REF!</f>
        <v/>
      </c>
      <c r="P85" s="6">
        <f>#REF!</f>
        <v/>
      </c>
      <c r="Q85" s="6">
        <f>#REF!</f>
        <v/>
      </c>
      <c r="R85" s="6">
        <f>#REF!</f>
        <v/>
      </c>
      <c r="S85" s="5">
        <f>№1!R90</f>
        <v/>
      </c>
      <c r="T85" s="5">
        <f>#REF!</f>
        <v/>
      </c>
      <c r="U85" s="5">
        <f>#REF!</f>
        <v/>
      </c>
      <c r="V85" s="5">
        <f>#REF!</f>
        <v/>
      </c>
      <c r="W85" s="5">
        <f>#REF!</f>
        <v/>
      </c>
      <c r="X85" s="5">
        <f>#REF!</f>
        <v/>
      </c>
      <c r="Y85" s="5">
        <f>#REF!</f>
        <v/>
      </c>
      <c r="Z85" s="5">
        <f>#REF!</f>
        <v/>
      </c>
      <c r="AA85" s="6">
        <f>№1!Q90</f>
        <v/>
      </c>
      <c r="AB85" s="6">
        <f>#REF!</f>
        <v/>
      </c>
      <c r="AC85" s="6">
        <f>#REF!</f>
        <v/>
      </c>
      <c r="AD85" s="6">
        <f>#REF!</f>
        <v/>
      </c>
      <c r="AE85" s="6">
        <f>#REF!</f>
        <v/>
      </c>
      <c r="AF85" s="6">
        <f>#REF!</f>
        <v/>
      </c>
      <c r="AG85" s="6">
        <f>#REF!</f>
        <v/>
      </c>
      <c r="AH85" s="6">
        <f>#REF!</f>
        <v/>
      </c>
      <c r="AI85" s="5">
        <f>№1!S90</f>
        <v/>
      </c>
      <c r="AJ85" s="5">
        <f>#REF!</f>
        <v/>
      </c>
      <c r="AK85" s="5">
        <f>#REF!</f>
        <v/>
      </c>
      <c r="AL85" s="5">
        <f>#REF!</f>
        <v/>
      </c>
      <c r="AM85" s="5">
        <f>#REF!</f>
        <v/>
      </c>
      <c r="AN85" s="5">
        <f>#REF!</f>
        <v/>
      </c>
      <c r="AO85" s="5">
        <f>#REF!</f>
        <v/>
      </c>
      <c r="AP85" s="5">
        <f>#REF!</f>
        <v/>
      </c>
      <c r="AQ85" s="6">
        <f>№1!T90</f>
        <v/>
      </c>
      <c r="AR85" s="6">
        <f>#REF!</f>
        <v/>
      </c>
      <c r="AS85" s="6">
        <f>#REF!</f>
        <v/>
      </c>
      <c r="AT85" s="6">
        <f>#REF!</f>
        <v/>
      </c>
      <c r="AU85" s="6">
        <f>#REF!</f>
        <v/>
      </c>
      <c r="AV85" s="6">
        <f>#REF!</f>
        <v/>
      </c>
      <c r="AW85" s="6">
        <f>#REF!</f>
        <v/>
      </c>
      <c r="AX85" s="6">
        <f>#REF!</f>
        <v/>
      </c>
    </row>
    <row r="86">
      <c r="A86" s="4">
        <f>#REF!</f>
        <v/>
      </c>
      <c r="B86" s="4">
        <f>A86/1000000000</f>
        <v/>
      </c>
      <c r="C86" s="5">
        <f>№1!U91</f>
        <v/>
      </c>
      <c r="D86" s="5">
        <f>#REF!</f>
        <v/>
      </c>
      <c r="E86" s="5">
        <f>#REF!</f>
        <v/>
      </c>
      <c r="F86" s="5">
        <f>#REF!</f>
        <v/>
      </c>
      <c r="G86" s="5">
        <f>#REF!</f>
        <v/>
      </c>
      <c r="H86" s="5">
        <f>#REF!</f>
        <v/>
      </c>
      <c r="I86" s="5">
        <f>#REF!</f>
        <v/>
      </c>
      <c r="J86" s="5">
        <f>#REF!</f>
        <v/>
      </c>
      <c r="K86" s="6">
        <f>№1!P91</f>
        <v/>
      </c>
      <c r="L86" s="6">
        <f>#REF!</f>
        <v/>
      </c>
      <c r="M86" s="6">
        <f>#REF!</f>
        <v/>
      </c>
      <c r="N86" s="6">
        <f>#REF!</f>
        <v/>
      </c>
      <c r="O86" s="6">
        <f>#REF!</f>
        <v/>
      </c>
      <c r="P86" s="6">
        <f>#REF!</f>
        <v/>
      </c>
      <c r="Q86" s="6">
        <f>#REF!</f>
        <v/>
      </c>
      <c r="R86" s="6">
        <f>#REF!</f>
        <v/>
      </c>
      <c r="S86" s="5">
        <f>№1!R91</f>
        <v/>
      </c>
      <c r="T86" s="5">
        <f>#REF!</f>
        <v/>
      </c>
      <c r="U86" s="5">
        <f>#REF!</f>
        <v/>
      </c>
      <c r="V86" s="5">
        <f>#REF!</f>
        <v/>
      </c>
      <c r="W86" s="5">
        <f>#REF!</f>
        <v/>
      </c>
      <c r="X86" s="5">
        <f>#REF!</f>
        <v/>
      </c>
      <c r="Y86" s="5">
        <f>#REF!</f>
        <v/>
      </c>
      <c r="Z86" s="5">
        <f>#REF!</f>
        <v/>
      </c>
      <c r="AA86" s="6">
        <f>№1!Q91</f>
        <v/>
      </c>
      <c r="AB86" s="6">
        <f>#REF!</f>
        <v/>
      </c>
      <c r="AC86" s="6">
        <f>#REF!</f>
        <v/>
      </c>
      <c r="AD86" s="6">
        <f>#REF!</f>
        <v/>
      </c>
      <c r="AE86" s="6">
        <f>#REF!</f>
        <v/>
      </c>
      <c r="AF86" s="6">
        <f>#REF!</f>
        <v/>
      </c>
      <c r="AG86" s="6">
        <f>#REF!</f>
        <v/>
      </c>
      <c r="AH86" s="6">
        <f>#REF!</f>
        <v/>
      </c>
      <c r="AI86" s="5">
        <f>№1!S91</f>
        <v/>
      </c>
      <c r="AJ86" s="5">
        <f>#REF!</f>
        <v/>
      </c>
      <c r="AK86" s="5">
        <f>#REF!</f>
        <v/>
      </c>
      <c r="AL86" s="5">
        <f>#REF!</f>
        <v/>
      </c>
      <c r="AM86" s="5">
        <f>#REF!</f>
        <v/>
      </c>
      <c r="AN86" s="5">
        <f>#REF!</f>
        <v/>
      </c>
      <c r="AO86" s="5">
        <f>#REF!</f>
        <v/>
      </c>
      <c r="AP86" s="5">
        <f>#REF!</f>
        <v/>
      </c>
      <c r="AQ86" s="6">
        <f>№1!T91</f>
        <v/>
      </c>
      <c r="AR86" s="6">
        <f>#REF!</f>
        <v/>
      </c>
      <c r="AS86" s="6">
        <f>#REF!</f>
        <v/>
      </c>
      <c r="AT86" s="6">
        <f>#REF!</f>
        <v/>
      </c>
      <c r="AU86" s="6">
        <f>#REF!</f>
        <v/>
      </c>
      <c r="AV86" s="6">
        <f>#REF!</f>
        <v/>
      </c>
      <c r="AW86" s="6">
        <f>#REF!</f>
        <v/>
      </c>
      <c r="AX86" s="6">
        <f>#REF!</f>
        <v/>
      </c>
    </row>
    <row r="87">
      <c r="A87" s="3">
        <f>#REF!</f>
        <v/>
      </c>
      <c r="B87" s="4">
        <f>A87/1000000000</f>
        <v/>
      </c>
      <c r="C87" s="5">
        <f>№1!U92</f>
        <v/>
      </c>
      <c r="D87" s="5">
        <f>#REF!</f>
        <v/>
      </c>
      <c r="E87" s="5">
        <f>#REF!</f>
        <v/>
      </c>
      <c r="F87" s="5">
        <f>#REF!</f>
        <v/>
      </c>
      <c r="G87" s="5">
        <f>#REF!</f>
        <v/>
      </c>
      <c r="H87" s="5">
        <f>#REF!</f>
        <v/>
      </c>
      <c r="I87" s="5">
        <f>#REF!</f>
        <v/>
      </c>
      <c r="J87" s="5">
        <f>#REF!</f>
        <v/>
      </c>
      <c r="K87" s="6">
        <f>№1!P92</f>
        <v/>
      </c>
      <c r="L87" s="6">
        <f>#REF!</f>
        <v/>
      </c>
      <c r="M87" s="6">
        <f>#REF!</f>
        <v/>
      </c>
      <c r="N87" s="6">
        <f>#REF!</f>
        <v/>
      </c>
      <c r="O87" s="6">
        <f>#REF!</f>
        <v/>
      </c>
      <c r="P87" s="6">
        <f>#REF!</f>
        <v/>
      </c>
      <c r="Q87" s="6">
        <f>#REF!</f>
        <v/>
      </c>
      <c r="R87" s="6">
        <f>#REF!</f>
        <v/>
      </c>
      <c r="S87" s="5">
        <f>№1!R92</f>
        <v/>
      </c>
      <c r="T87" s="5">
        <f>#REF!</f>
        <v/>
      </c>
      <c r="U87" s="5">
        <f>#REF!</f>
        <v/>
      </c>
      <c r="V87" s="5">
        <f>#REF!</f>
        <v/>
      </c>
      <c r="W87" s="5">
        <f>#REF!</f>
        <v/>
      </c>
      <c r="X87" s="5">
        <f>#REF!</f>
        <v/>
      </c>
      <c r="Y87" s="5">
        <f>#REF!</f>
        <v/>
      </c>
      <c r="Z87" s="5">
        <f>#REF!</f>
        <v/>
      </c>
      <c r="AA87" s="6">
        <f>№1!Q92</f>
        <v/>
      </c>
      <c r="AB87" s="6">
        <f>#REF!</f>
        <v/>
      </c>
      <c r="AC87" s="6">
        <f>#REF!</f>
        <v/>
      </c>
      <c r="AD87" s="6">
        <f>#REF!</f>
        <v/>
      </c>
      <c r="AE87" s="6">
        <f>#REF!</f>
        <v/>
      </c>
      <c r="AF87" s="6">
        <f>#REF!</f>
        <v/>
      </c>
      <c r="AG87" s="6">
        <f>#REF!</f>
        <v/>
      </c>
      <c r="AH87" s="6">
        <f>#REF!</f>
        <v/>
      </c>
      <c r="AI87" s="5">
        <f>№1!S92</f>
        <v/>
      </c>
      <c r="AJ87" s="5">
        <f>#REF!</f>
        <v/>
      </c>
      <c r="AK87" s="5">
        <f>#REF!</f>
        <v/>
      </c>
      <c r="AL87" s="5">
        <f>#REF!</f>
        <v/>
      </c>
      <c r="AM87" s="5">
        <f>#REF!</f>
        <v/>
      </c>
      <c r="AN87" s="5">
        <f>#REF!</f>
        <v/>
      </c>
      <c r="AO87" s="5">
        <f>#REF!</f>
        <v/>
      </c>
      <c r="AP87" s="5">
        <f>#REF!</f>
        <v/>
      </c>
      <c r="AQ87" s="6">
        <f>№1!T92</f>
        <v/>
      </c>
      <c r="AR87" s="6">
        <f>#REF!</f>
        <v/>
      </c>
      <c r="AS87" s="6">
        <f>#REF!</f>
        <v/>
      </c>
      <c r="AT87" s="6">
        <f>#REF!</f>
        <v/>
      </c>
      <c r="AU87" s="6">
        <f>#REF!</f>
        <v/>
      </c>
      <c r="AV87" s="6">
        <f>#REF!</f>
        <v/>
      </c>
      <c r="AW87" s="6">
        <f>#REF!</f>
        <v/>
      </c>
      <c r="AX87" s="6">
        <f>#REF!</f>
        <v/>
      </c>
    </row>
    <row r="88">
      <c r="A88" s="4">
        <f>#REF!</f>
        <v/>
      </c>
      <c r="B88" s="4">
        <f>A88/1000000000</f>
        <v/>
      </c>
      <c r="C88" s="5">
        <f>№1!U93</f>
        <v/>
      </c>
      <c r="D88" s="5">
        <f>#REF!</f>
        <v/>
      </c>
      <c r="E88" s="5">
        <f>#REF!</f>
        <v/>
      </c>
      <c r="F88" s="5">
        <f>#REF!</f>
        <v/>
      </c>
      <c r="G88" s="5">
        <f>#REF!</f>
        <v/>
      </c>
      <c r="H88" s="5">
        <f>#REF!</f>
        <v/>
      </c>
      <c r="I88" s="5">
        <f>#REF!</f>
        <v/>
      </c>
      <c r="J88" s="5">
        <f>#REF!</f>
        <v/>
      </c>
      <c r="K88" s="6">
        <f>№1!P93</f>
        <v/>
      </c>
      <c r="L88" s="6">
        <f>#REF!</f>
        <v/>
      </c>
      <c r="M88" s="6">
        <f>#REF!</f>
        <v/>
      </c>
      <c r="N88" s="6">
        <f>#REF!</f>
        <v/>
      </c>
      <c r="O88" s="6">
        <f>#REF!</f>
        <v/>
      </c>
      <c r="P88" s="6">
        <f>#REF!</f>
        <v/>
      </c>
      <c r="Q88" s="6">
        <f>#REF!</f>
        <v/>
      </c>
      <c r="R88" s="6">
        <f>#REF!</f>
        <v/>
      </c>
      <c r="S88" s="5">
        <f>№1!R93</f>
        <v/>
      </c>
      <c r="T88" s="5">
        <f>#REF!</f>
        <v/>
      </c>
      <c r="U88" s="5">
        <f>#REF!</f>
        <v/>
      </c>
      <c r="V88" s="5">
        <f>#REF!</f>
        <v/>
      </c>
      <c r="W88" s="5">
        <f>#REF!</f>
        <v/>
      </c>
      <c r="X88" s="5">
        <f>#REF!</f>
        <v/>
      </c>
      <c r="Y88" s="5">
        <f>#REF!</f>
        <v/>
      </c>
      <c r="Z88" s="5">
        <f>#REF!</f>
        <v/>
      </c>
      <c r="AA88" s="6">
        <f>№1!Q93</f>
        <v/>
      </c>
      <c r="AB88" s="6">
        <f>#REF!</f>
        <v/>
      </c>
      <c r="AC88" s="6">
        <f>#REF!</f>
        <v/>
      </c>
      <c r="AD88" s="6">
        <f>#REF!</f>
        <v/>
      </c>
      <c r="AE88" s="6">
        <f>#REF!</f>
        <v/>
      </c>
      <c r="AF88" s="6">
        <f>#REF!</f>
        <v/>
      </c>
      <c r="AG88" s="6">
        <f>#REF!</f>
        <v/>
      </c>
      <c r="AH88" s="6">
        <f>#REF!</f>
        <v/>
      </c>
      <c r="AI88" s="5">
        <f>№1!S93</f>
        <v/>
      </c>
      <c r="AJ88" s="5">
        <f>#REF!</f>
        <v/>
      </c>
      <c r="AK88" s="5">
        <f>#REF!</f>
        <v/>
      </c>
      <c r="AL88" s="5">
        <f>#REF!</f>
        <v/>
      </c>
      <c r="AM88" s="5">
        <f>#REF!</f>
        <v/>
      </c>
      <c r="AN88" s="5">
        <f>#REF!</f>
        <v/>
      </c>
      <c r="AO88" s="5">
        <f>#REF!</f>
        <v/>
      </c>
      <c r="AP88" s="5">
        <f>#REF!</f>
        <v/>
      </c>
      <c r="AQ88" s="6">
        <f>№1!T93</f>
        <v/>
      </c>
      <c r="AR88" s="6">
        <f>#REF!</f>
        <v/>
      </c>
      <c r="AS88" s="6">
        <f>#REF!</f>
        <v/>
      </c>
      <c r="AT88" s="6">
        <f>#REF!</f>
        <v/>
      </c>
      <c r="AU88" s="6">
        <f>#REF!</f>
        <v/>
      </c>
      <c r="AV88" s="6">
        <f>#REF!</f>
        <v/>
      </c>
      <c r="AW88" s="6">
        <f>#REF!</f>
        <v/>
      </c>
      <c r="AX88" s="6">
        <f>#REF!</f>
        <v/>
      </c>
    </row>
    <row r="89">
      <c r="A89" s="3">
        <f>#REF!</f>
        <v/>
      </c>
      <c r="B89" s="4">
        <f>A89/1000000000</f>
        <v/>
      </c>
      <c r="C89" s="5">
        <f>№1!U94</f>
        <v/>
      </c>
      <c r="D89" s="5">
        <f>#REF!</f>
        <v/>
      </c>
      <c r="E89" s="5">
        <f>#REF!</f>
        <v/>
      </c>
      <c r="F89" s="5">
        <f>#REF!</f>
        <v/>
      </c>
      <c r="G89" s="5">
        <f>#REF!</f>
        <v/>
      </c>
      <c r="H89" s="5">
        <f>#REF!</f>
        <v/>
      </c>
      <c r="I89" s="5">
        <f>#REF!</f>
        <v/>
      </c>
      <c r="J89" s="5">
        <f>#REF!</f>
        <v/>
      </c>
      <c r="K89" s="6">
        <f>№1!P94</f>
        <v/>
      </c>
      <c r="L89" s="6">
        <f>#REF!</f>
        <v/>
      </c>
      <c r="M89" s="6">
        <f>#REF!</f>
        <v/>
      </c>
      <c r="N89" s="6">
        <f>#REF!</f>
        <v/>
      </c>
      <c r="O89" s="6">
        <f>#REF!</f>
        <v/>
      </c>
      <c r="P89" s="6">
        <f>#REF!</f>
        <v/>
      </c>
      <c r="Q89" s="6">
        <f>#REF!</f>
        <v/>
      </c>
      <c r="R89" s="6">
        <f>#REF!</f>
        <v/>
      </c>
      <c r="S89" s="5">
        <f>№1!R94</f>
        <v/>
      </c>
      <c r="T89" s="5">
        <f>#REF!</f>
        <v/>
      </c>
      <c r="U89" s="5">
        <f>#REF!</f>
        <v/>
      </c>
      <c r="V89" s="5">
        <f>#REF!</f>
        <v/>
      </c>
      <c r="W89" s="5">
        <f>#REF!</f>
        <v/>
      </c>
      <c r="X89" s="5">
        <f>#REF!</f>
        <v/>
      </c>
      <c r="Y89" s="5">
        <f>#REF!</f>
        <v/>
      </c>
      <c r="Z89" s="5">
        <f>#REF!</f>
        <v/>
      </c>
      <c r="AA89" s="6">
        <f>№1!Q94</f>
        <v/>
      </c>
      <c r="AB89" s="6">
        <f>#REF!</f>
        <v/>
      </c>
      <c r="AC89" s="6">
        <f>#REF!</f>
        <v/>
      </c>
      <c r="AD89" s="6">
        <f>#REF!</f>
        <v/>
      </c>
      <c r="AE89" s="6">
        <f>#REF!</f>
        <v/>
      </c>
      <c r="AF89" s="6">
        <f>#REF!</f>
        <v/>
      </c>
      <c r="AG89" s="6">
        <f>#REF!</f>
        <v/>
      </c>
      <c r="AH89" s="6">
        <f>#REF!</f>
        <v/>
      </c>
      <c r="AI89" s="5">
        <f>№1!S94</f>
        <v/>
      </c>
      <c r="AJ89" s="5">
        <f>#REF!</f>
        <v/>
      </c>
      <c r="AK89" s="5">
        <f>#REF!</f>
        <v/>
      </c>
      <c r="AL89" s="5">
        <f>#REF!</f>
        <v/>
      </c>
      <c r="AM89" s="5">
        <f>#REF!</f>
        <v/>
      </c>
      <c r="AN89" s="5">
        <f>#REF!</f>
        <v/>
      </c>
      <c r="AO89" s="5">
        <f>#REF!</f>
        <v/>
      </c>
      <c r="AP89" s="5">
        <f>#REF!</f>
        <v/>
      </c>
      <c r="AQ89" s="6">
        <f>№1!T94</f>
        <v/>
      </c>
      <c r="AR89" s="6">
        <f>#REF!</f>
        <v/>
      </c>
      <c r="AS89" s="6">
        <f>#REF!</f>
        <v/>
      </c>
      <c r="AT89" s="6">
        <f>#REF!</f>
        <v/>
      </c>
      <c r="AU89" s="6">
        <f>#REF!</f>
        <v/>
      </c>
      <c r="AV89" s="6">
        <f>#REF!</f>
        <v/>
      </c>
      <c r="AW89" s="6">
        <f>#REF!</f>
        <v/>
      </c>
      <c r="AX89" s="6">
        <f>#REF!</f>
        <v/>
      </c>
    </row>
    <row r="90">
      <c r="A90" s="4">
        <f>#REF!</f>
        <v/>
      </c>
      <c r="B90" s="4">
        <f>A90/1000000000</f>
        <v/>
      </c>
      <c r="C90" s="5">
        <f>№1!U95</f>
        <v/>
      </c>
      <c r="D90" s="5">
        <f>#REF!</f>
        <v/>
      </c>
      <c r="E90" s="5">
        <f>#REF!</f>
        <v/>
      </c>
      <c r="F90" s="5">
        <f>#REF!</f>
        <v/>
      </c>
      <c r="G90" s="5">
        <f>#REF!</f>
        <v/>
      </c>
      <c r="H90" s="5">
        <f>#REF!</f>
        <v/>
      </c>
      <c r="I90" s="5">
        <f>#REF!</f>
        <v/>
      </c>
      <c r="J90" s="5">
        <f>#REF!</f>
        <v/>
      </c>
      <c r="K90" s="6">
        <f>№1!P95</f>
        <v/>
      </c>
      <c r="L90" s="6">
        <f>#REF!</f>
        <v/>
      </c>
      <c r="M90" s="6">
        <f>#REF!</f>
        <v/>
      </c>
      <c r="N90" s="6">
        <f>#REF!</f>
        <v/>
      </c>
      <c r="O90" s="6">
        <f>#REF!</f>
        <v/>
      </c>
      <c r="P90" s="6">
        <f>#REF!</f>
        <v/>
      </c>
      <c r="Q90" s="6">
        <f>#REF!</f>
        <v/>
      </c>
      <c r="R90" s="6">
        <f>#REF!</f>
        <v/>
      </c>
      <c r="S90" s="5">
        <f>№1!R95</f>
        <v/>
      </c>
      <c r="T90" s="5">
        <f>#REF!</f>
        <v/>
      </c>
      <c r="U90" s="5">
        <f>#REF!</f>
        <v/>
      </c>
      <c r="V90" s="5">
        <f>#REF!</f>
        <v/>
      </c>
      <c r="W90" s="5">
        <f>#REF!</f>
        <v/>
      </c>
      <c r="X90" s="5">
        <f>#REF!</f>
        <v/>
      </c>
      <c r="Y90" s="5">
        <f>#REF!</f>
        <v/>
      </c>
      <c r="Z90" s="5">
        <f>#REF!</f>
        <v/>
      </c>
      <c r="AA90" s="6">
        <f>№1!Q95</f>
        <v/>
      </c>
      <c r="AB90" s="6">
        <f>#REF!</f>
        <v/>
      </c>
      <c r="AC90" s="6">
        <f>#REF!</f>
        <v/>
      </c>
      <c r="AD90" s="6">
        <f>#REF!</f>
        <v/>
      </c>
      <c r="AE90" s="6">
        <f>#REF!</f>
        <v/>
      </c>
      <c r="AF90" s="6">
        <f>#REF!</f>
        <v/>
      </c>
      <c r="AG90" s="6">
        <f>#REF!</f>
        <v/>
      </c>
      <c r="AH90" s="6">
        <f>#REF!</f>
        <v/>
      </c>
      <c r="AI90" s="5">
        <f>№1!S95</f>
        <v/>
      </c>
      <c r="AJ90" s="5">
        <f>#REF!</f>
        <v/>
      </c>
      <c r="AK90" s="5">
        <f>#REF!</f>
        <v/>
      </c>
      <c r="AL90" s="5">
        <f>#REF!</f>
        <v/>
      </c>
      <c r="AM90" s="5">
        <f>#REF!</f>
        <v/>
      </c>
      <c r="AN90" s="5">
        <f>#REF!</f>
        <v/>
      </c>
      <c r="AO90" s="5">
        <f>#REF!</f>
        <v/>
      </c>
      <c r="AP90" s="5">
        <f>#REF!</f>
        <v/>
      </c>
      <c r="AQ90" s="6">
        <f>№1!T95</f>
        <v/>
      </c>
      <c r="AR90" s="6">
        <f>#REF!</f>
        <v/>
      </c>
      <c r="AS90" s="6">
        <f>#REF!</f>
        <v/>
      </c>
      <c r="AT90" s="6">
        <f>#REF!</f>
        <v/>
      </c>
      <c r="AU90" s="6">
        <f>#REF!</f>
        <v/>
      </c>
      <c r="AV90" s="6">
        <f>#REF!</f>
        <v/>
      </c>
      <c r="AW90" s="6">
        <f>#REF!</f>
        <v/>
      </c>
      <c r="AX90" s="6">
        <f>#REF!</f>
        <v/>
      </c>
    </row>
    <row r="91">
      <c r="A91" s="3">
        <f>#REF!</f>
        <v/>
      </c>
      <c r="B91" s="4">
        <f>A91/1000000000</f>
        <v/>
      </c>
      <c r="C91" s="5">
        <f>№1!U96</f>
        <v/>
      </c>
      <c r="D91" s="5">
        <f>#REF!</f>
        <v/>
      </c>
      <c r="E91" s="5">
        <f>#REF!</f>
        <v/>
      </c>
      <c r="F91" s="5">
        <f>#REF!</f>
        <v/>
      </c>
      <c r="G91" s="5">
        <f>#REF!</f>
        <v/>
      </c>
      <c r="H91" s="5">
        <f>#REF!</f>
        <v/>
      </c>
      <c r="I91" s="5">
        <f>#REF!</f>
        <v/>
      </c>
      <c r="J91" s="5">
        <f>#REF!</f>
        <v/>
      </c>
      <c r="K91" s="6">
        <f>№1!P96</f>
        <v/>
      </c>
      <c r="L91" s="6">
        <f>#REF!</f>
        <v/>
      </c>
      <c r="M91" s="6">
        <f>#REF!</f>
        <v/>
      </c>
      <c r="N91" s="6">
        <f>#REF!</f>
        <v/>
      </c>
      <c r="O91" s="6">
        <f>#REF!</f>
        <v/>
      </c>
      <c r="P91" s="6">
        <f>#REF!</f>
        <v/>
      </c>
      <c r="Q91" s="6">
        <f>#REF!</f>
        <v/>
      </c>
      <c r="R91" s="6">
        <f>#REF!</f>
        <v/>
      </c>
      <c r="S91" s="5">
        <f>№1!R96</f>
        <v/>
      </c>
      <c r="T91" s="5">
        <f>#REF!</f>
        <v/>
      </c>
      <c r="U91" s="5">
        <f>#REF!</f>
        <v/>
      </c>
      <c r="V91" s="5">
        <f>#REF!</f>
        <v/>
      </c>
      <c r="W91" s="5">
        <f>#REF!</f>
        <v/>
      </c>
      <c r="X91" s="5">
        <f>#REF!</f>
        <v/>
      </c>
      <c r="Y91" s="5">
        <f>#REF!</f>
        <v/>
      </c>
      <c r="Z91" s="5">
        <f>#REF!</f>
        <v/>
      </c>
      <c r="AA91" s="6">
        <f>№1!Q96</f>
        <v/>
      </c>
      <c r="AB91" s="6">
        <f>#REF!</f>
        <v/>
      </c>
      <c r="AC91" s="6">
        <f>#REF!</f>
        <v/>
      </c>
      <c r="AD91" s="6">
        <f>#REF!</f>
        <v/>
      </c>
      <c r="AE91" s="6">
        <f>#REF!</f>
        <v/>
      </c>
      <c r="AF91" s="6">
        <f>#REF!</f>
        <v/>
      </c>
      <c r="AG91" s="6">
        <f>#REF!</f>
        <v/>
      </c>
      <c r="AH91" s="6">
        <f>#REF!</f>
        <v/>
      </c>
      <c r="AI91" s="5">
        <f>№1!S96</f>
        <v/>
      </c>
      <c r="AJ91" s="5">
        <f>#REF!</f>
        <v/>
      </c>
      <c r="AK91" s="5">
        <f>#REF!</f>
        <v/>
      </c>
      <c r="AL91" s="5">
        <f>#REF!</f>
        <v/>
      </c>
      <c r="AM91" s="5">
        <f>#REF!</f>
        <v/>
      </c>
      <c r="AN91" s="5">
        <f>#REF!</f>
        <v/>
      </c>
      <c r="AO91" s="5">
        <f>#REF!</f>
        <v/>
      </c>
      <c r="AP91" s="5">
        <f>#REF!</f>
        <v/>
      </c>
      <c r="AQ91" s="6">
        <f>№1!T96</f>
        <v/>
      </c>
      <c r="AR91" s="6">
        <f>#REF!</f>
        <v/>
      </c>
      <c r="AS91" s="6">
        <f>#REF!</f>
        <v/>
      </c>
      <c r="AT91" s="6">
        <f>#REF!</f>
        <v/>
      </c>
      <c r="AU91" s="6">
        <f>#REF!</f>
        <v/>
      </c>
      <c r="AV91" s="6">
        <f>#REF!</f>
        <v/>
      </c>
      <c r="AW91" s="6">
        <f>#REF!</f>
        <v/>
      </c>
      <c r="AX91" s="6">
        <f>#REF!</f>
        <v/>
      </c>
    </row>
  </sheetData>
  <mergeCells count="8">
    <mergeCell ref="C4:J4"/>
    <mergeCell ref="AA4:AH4"/>
    <mergeCell ref="AQ4:AX4"/>
    <mergeCell ref="B4:B5"/>
    <mergeCell ref="AI4:AP4"/>
    <mergeCell ref="A4:A5"/>
    <mergeCell ref="K4:R4"/>
    <mergeCell ref="S4:Z4"/>
  </mergeCells>
  <pageMargins left="0.25" right="0.25" top="0.75" bottom="0.75" header="0.3" footer="0.3"/>
  <pageSetup orientation="portrait" paperSize="9" scale="2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topLeftCell="A65" zoomScale="85" zoomScaleNormal="85" workbookViewId="0">
      <selection activeCell="T11" sqref="T1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5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7" t="inlineStr">
        <is>
          <t>ћощность на ”Ѕћ, dBm</t>
        </is>
      </c>
      <c r="B1" s="7" t="n">
        <v>18</v>
      </c>
      <c r="C1" s="7" t="n"/>
      <c r="D1" s="7" t="n"/>
      <c r="E1" s="7" t="n"/>
    </row>
    <row r="2">
      <c r="A2" s="7" t="inlineStr">
        <is>
          <t>Gate start, ms</t>
        </is>
      </c>
      <c r="B2" s="7" t="n">
        <v>20</v>
      </c>
      <c r="C2" s="7" t="n"/>
      <c r="D2" s="7" t="n"/>
      <c r="E2" s="7" t="n"/>
    </row>
    <row r="3">
      <c r="A3" s="7" t="inlineStr">
        <is>
          <t>Gate lenght, ms</t>
        </is>
      </c>
      <c r="B3" s="7" t="n">
        <v>80</v>
      </c>
      <c r="C3" s="7" t="n"/>
      <c r="D3" s="7" t="n"/>
      <c r="E3" s="7" t="n"/>
    </row>
    <row r="4">
      <c r="A4" s="7" t="inlineStr">
        <is>
          <t>T, ms</t>
        </is>
      </c>
      <c r="B4" s="7" t="n">
        <v>1000</v>
      </c>
      <c r="C4" s="7" t="n"/>
      <c r="D4" s="7" t="n"/>
      <c r="E4" s="7" t="n"/>
    </row>
    <row r="5">
      <c r="A5" s="7" t="inlineStr">
        <is>
          <t>“очность подстройки, dBm</t>
        </is>
      </c>
      <c r="B5" s="7" t="n">
        <v>0.1</v>
      </c>
      <c r="C5" s="7" t="n"/>
      <c r="D5" s="7" t="n"/>
      <c r="E5" s="7" t="n"/>
    </row>
    <row r="6">
      <c r="A6" s="7" t="inlineStr">
        <is>
          <t>Iпот(поко€), mA</t>
        </is>
      </c>
      <c r="B6" s="7" t="n">
        <v>650</v>
      </c>
      <c r="C6" s="7" t="n"/>
      <c r="D6" s="7" t="n"/>
      <c r="E6" s="7" t="n"/>
    </row>
    <row r="7">
      <c r="A7" s="7" t="inlineStr">
        <is>
          <t>Uп, ¬</t>
        </is>
      </c>
      <c r="B7" s="7" t="n">
        <v>28</v>
      </c>
      <c r="C7" s="7" t="n"/>
      <c r="D7" s="7" t="n"/>
      <c r="E7" s="7" t="n"/>
    </row>
    <row r="8">
      <c r="A8" s="7" t="inlineStr">
        <is>
          <t>Uсм, ¬</t>
        </is>
      </c>
      <c r="B8" s="7" t="n"/>
      <c r="C8" s="7" t="n"/>
      <c r="D8" s="7" t="n"/>
      <c r="E8" s="7" t="n"/>
    </row>
    <row r="9">
      <c r="A9" s="7" t="inlineStr">
        <is>
          <t>— калибровкой</t>
        </is>
      </c>
      <c r="B9" s="7" t="n"/>
      <c r="C9" s="7" t="n"/>
      <c r="D9" s="7" t="n"/>
      <c r="E9" s="7" t="n"/>
    </row>
    <row r="10">
      <c r="A10" s="7" t="inlineStr">
        <is>
          <t>є</t>
        </is>
      </c>
      <c r="B10" s="7" t="inlineStr">
        <is>
          <t>f, MHz</t>
        </is>
      </c>
      <c r="C10" s="7" t="inlineStr">
        <is>
          <t>P, dBm</t>
        </is>
      </c>
      <c r="D10" s="7" t="inlineStr">
        <is>
          <t>IG, mA</t>
        </is>
      </c>
      <c r="E10" s="7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7" t="n">
        <v>1</v>
      </c>
      <c r="B11" s="7" t="n">
        <v>500000000</v>
      </c>
      <c r="C11" s="7" t="n">
        <v>33.513217</v>
      </c>
      <c r="D11" s="7" t="n">
        <v>4.9e-05</v>
      </c>
      <c r="E11" s="7" t="n">
        <v>0.140955</v>
      </c>
      <c r="F11" t="n">
        <v>15.513217</v>
      </c>
      <c r="G11" t="n">
        <v>5.529739</v>
      </c>
      <c r="H11" t="n">
        <v>2.245545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>
        <f>C11+J11</f>
        <v/>
      </c>
      <c r="Q11" s="9">
        <f>D11-L11</f>
        <v/>
      </c>
      <c r="R11" s="9">
        <f>(E11-M11)*K11</f>
        <v/>
      </c>
      <c r="S11" s="9">
        <f>F11+J11</f>
        <v/>
      </c>
      <c r="T11" s="9">
        <f>((U11-O11)/(N11*R11))*100</f>
        <v/>
      </c>
      <c r="U11" s="9">
        <f>(10^(P11/10))/1000</f>
        <v/>
      </c>
    </row>
    <row r="12">
      <c r="A12" s="7" t="n">
        <v>2</v>
      </c>
      <c r="B12" s="7" t="n">
        <v>600000000</v>
      </c>
      <c r="C12" s="7" t="n">
        <v>34.938403</v>
      </c>
      <c r="D12" s="7" t="n">
        <v>-0.000213</v>
      </c>
      <c r="E12" s="7" t="n">
        <v>0.12731</v>
      </c>
      <c r="F12" t="n">
        <v>16.938403</v>
      </c>
      <c r="G12" t="n">
        <v>8.569235000000001</v>
      </c>
      <c r="H12" t="n">
        <v>3.117743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>
        <f>C12+J12</f>
        <v/>
      </c>
      <c r="Q12" s="9">
        <f>D12-L12</f>
        <v/>
      </c>
      <c r="R12" s="9">
        <f>(E12-M12)*K12</f>
        <v/>
      </c>
      <c r="S12" s="9">
        <f>F12+J12</f>
        <v/>
      </c>
      <c r="T12" s="9">
        <f>((U12-O12)/(N12*R12))*100</f>
        <v/>
      </c>
      <c r="U12" s="9">
        <f>(10^(P12/10))/1000</f>
        <v/>
      </c>
    </row>
    <row r="13">
      <c r="A13" s="7" t="n">
        <v>3</v>
      </c>
      <c r="B13" s="7" t="n">
        <v>700000000</v>
      </c>
      <c r="C13" s="7" t="n">
        <v>36.204166</v>
      </c>
      <c r="D13" s="7" t="n">
        <v>1.8e-05</v>
      </c>
      <c r="E13" s="7" t="n">
        <v>0.114457</v>
      </c>
      <c r="F13" t="n">
        <v>18.204166</v>
      </c>
      <c r="G13" t="n">
        <v>12.823242</v>
      </c>
      <c r="H13" t="n">
        <v>4.172695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>
        <f>C13+J13</f>
        <v/>
      </c>
      <c r="Q13" s="9">
        <f>D13-L13</f>
        <v/>
      </c>
      <c r="R13" s="9">
        <f>(E13-M13)*K13</f>
        <v/>
      </c>
      <c r="S13" s="9">
        <f>F13+J13</f>
        <v/>
      </c>
      <c r="T13" s="9">
        <f>((U13-O13)/(N13*R13))*100</f>
        <v/>
      </c>
      <c r="U13" s="9">
        <f>(10^(P13/10))/1000</f>
        <v/>
      </c>
    </row>
    <row r="14">
      <c r="A14" s="7" t="n">
        <v>4</v>
      </c>
      <c r="B14" s="7" t="n">
        <v>800000000</v>
      </c>
      <c r="C14" s="7" t="n">
        <v>36.624177</v>
      </c>
      <c r="D14" s="7" t="n">
        <v>-0.000388</v>
      </c>
      <c r="E14" s="7" t="n">
        <v>0.110013</v>
      </c>
      <c r="F14" t="n">
        <v>18.624177</v>
      </c>
      <c r="G14" t="n">
        <v>14.716774</v>
      </c>
      <c r="H14" t="n">
        <v>4.596399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>
        <f>C14+J14</f>
        <v/>
      </c>
      <c r="Q14" s="9">
        <f>D14-L14</f>
        <v/>
      </c>
      <c r="R14" s="9">
        <f>(E14-M14)*K14</f>
        <v/>
      </c>
      <c r="S14" s="9">
        <f>F14+J14</f>
        <v/>
      </c>
      <c r="T14" s="9">
        <f>((U14-O14)/(N14*R14))*100</f>
        <v/>
      </c>
      <c r="U14" s="9">
        <f>(10^(P14/10))/1000</f>
        <v/>
      </c>
    </row>
    <row r="15">
      <c r="A15" s="7" t="n">
        <v>5</v>
      </c>
      <c r="B15" s="7" t="n">
        <v>900000000</v>
      </c>
      <c r="C15" s="7" t="n">
        <v>37.00573</v>
      </c>
      <c r="D15" s="7" t="n">
        <v>-0.000408</v>
      </c>
      <c r="E15" s="7" t="n">
        <v>0.105518</v>
      </c>
      <c r="F15" t="n">
        <v>19.00573</v>
      </c>
      <c r="G15" t="n">
        <v>16.772387</v>
      </c>
      <c r="H15" t="n">
        <v>5.018489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>
        <f>C15+J15</f>
        <v/>
      </c>
      <c r="Q15" s="9">
        <f>D15-L15</f>
        <v/>
      </c>
      <c r="R15" s="9">
        <f>(E15-M15)*K15</f>
        <v/>
      </c>
      <c r="S15" s="9">
        <f>F15+J15</f>
        <v/>
      </c>
      <c r="T15" s="9">
        <f>((U15-O15)/(N15*R15))*100</f>
        <v/>
      </c>
      <c r="U15" s="9">
        <f>(10^(P15/10))/1000</f>
        <v/>
      </c>
    </row>
    <row r="16">
      <c r="A16" s="7" t="n">
        <v>6</v>
      </c>
      <c r="B16" s="7" t="n">
        <v>1000000000</v>
      </c>
      <c r="C16" s="7" t="n">
        <v>37.236555</v>
      </c>
      <c r="D16" s="7" t="n">
        <v>0.000224</v>
      </c>
      <c r="E16" s="7" t="n">
        <v>0.103911</v>
      </c>
      <c r="F16" t="n">
        <v>19.236555</v>
      </c>
      <c r="G16" t="n">
        <v>17.973242</v>
      </c>
      <c r="H16" t="n">
        <v>5.292435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>
        <f>C16+J16</f>
        <v/>
      </c>
      <c r="Q16" s="9">
        <f>D16-L16</f>
        <v/>
      </c>
      <c r="R16" s="9">
        <f>(E16-M16)*K16</f>
        <v/>
      </c>
      <c r="S16" s="9">
        <f>F16+J16</f>
        <v/>
      </c>
      <c r="T16" s="9">
        <f>((U16-O16)/(N16*R16))*100</f>
        <v/>
      </c>
      <c r="U16" s="9">
        <f>(10^(P16/10))/1000</f>
        <v/>
      </c>
    </row>
    <row r="17">
      <c r="A17" s="7" t="n">
        <v>7</v>
      </c>
      <c r="B17" s="7" t="n">
        <v>1100000000</v>
      </c>
      <c r="C17" s="7" t="n">
        <v>37.771552</v>
      </c>
      <c r="D17" s="7" t="n">
        <v>-3.9e-05</v>
      </c>
      <c r="E17" s="7" t="n">
        <v>0.104119</v>
      </c>
      <c r="F17" t="n">
        <v>19.771552</v>
      </c>
      <c r="G17" t="n">
        <v>20.317276</v>
      </c>
      <c r="H17" t="n">
        <v>5.986254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>
        <f>C17+J17</f>
        <v/>
      </c>
      <c r="Q17" s="9">
        <f>D17-L17</f>
        <v/>
      </c>
      <c r="R17" s="9">
        <f>(E17-M17)*K17</f>
        <v/>
      </c>
      <c r="S17" s="9">
        <f>F17+J17</f>
        <v/>
      </c>
      <c r="T17" s="9">
        <f>((U17-O17)/(N17*R17))*100</f>
        <v/>
      </c>
      <c r="U17" s="9">
        <f>(10^(P17/10))/1000</f>
        <v/>
      </c>
    </row>
    <row r="18">
      <c r="A18" s="7" t="n">
        <v>8</v>
      </c>
      <c r="B18" s="7" t="n">
        <v>1200000000</v>
      </c>
      <c r="C18" s="7" t="n">
        <v>37.939963</v>
      </c>
      <c r="D18" s="7" t="n">
        <v>3.5e-05</v>
      </c>
      <c r="E18" s="7" t="n">
        <v>0.105259</v>
      </c>
      <c r="F18" t="n">
        <v>19.939963</v>
      </c>
      <c r="G18" t="n">
        <v>20.900258</v>
      </c>
      <c r="H18" t="n">
        <v>6.22295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>
        <f>C18+J18</f>
        <v/>
      </c>
      <c r="Q18" s="9">
        <f>D18-L18</f>
        <v/>
      </c>
      <c r="R18" s="9">
        <f>(E18-M18)*K18</f>
        <v/>
      </c>
      <c r="S18" s="9">
        <f>F18+J18</f>
        <v/>
      </c>
      <c r="T18" s="9">
        <f>((U18-O18)/(N18*R18))*100</f>
        <v/>
      </c>
      <c r="U18" s="9">
        <f>(10^(P18/10))/1000</f>
        <v/>
      </c>
    </row>
    <row r="19">
      <c r="A19" s="7" t="n">
        <v>9</v>
      </c>
      <c r="B19" s="7" t="n">
        <v>1300000000</v>
      </c>
      <c r="C19" s="7" t="n">
        <v>38.437696</v>
      </c>
      <c r="D19" s="7" t="n">
        <v>-0.00016</v>
      </c>
      <c r="E19" s="7" t="n">
        <v>0.110634</v>
      </c>
      <c r="F19" t="n">
        <v>20.437696</v>
      </c>
      <c r="G19" t="n">
        <v>22.324407</v>
      </c>
      <c r="H19" t="n">
        <v>6.97862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>
        <f>C19+J19</f>
        <v/>
      </c>
      <c r="Q19" s="9">
        <f>D19-L19</f>
        <v/>
      </c>
      <c r="R19" s="9">
        <f>(E19-M19)*K19</f>
        <v/>
      </c>
      <c r="S19" s="9">
        <f>F19+J19</f>
        <v/>
      </c>
      <c r="T19" s="9">
        <f>((U19-O19)/(N19*R19))*100</f>
        <v/>
      </c>
      <c r="U19" s="9">
        <f>(10^(P19/10))/1000</f>
        <v/>
      </c>
    </row>
    <row r="20">
      <c r="A20" s="7" t="n">
        <v>10</v>
      </c>
      <c r="B20" s="7" t="n">
        <v>1400000000</v>
      </c>
      <c r="C20" s="7" t="n">
        <v>39.122293</v>
      </c>
      <c r="D20" s="7" t="n">
        <v>-0.000218</v>
      </c>
      <c r="E20" s="7" t="n">
        <v>0.119502</v>
      </c>
      <c r="F20" t="n">
        <v>21.122293</v>
      </c>
      <c r="G20" t="n">
        <v>24.228629</v>
      </c>
      <c r="H20" t="n">
        <v>8.170135999999999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>
        <f>C20+J20</f>
        <v/>
      </c>
      <c r="Q20" s="9">
        <f>D20-L20</f>
        <v/>
      </c>
      <c r="R20" s="9">
        <f>(E20-M20)*K20</f>
        <v/>
      </c>
      <c r="S20" s="9">
        <f>F20+J20</f>
        <v/>
      </c>
      <c r="T20" s="9">
        <f>((U20-O20)/(N20*R20))*100</f>
        <v/>
      </c>
      <c r="U20" s="9">
        <f>(10^(P20/10))/1000</f>
        <v/>
      </c>
    </row>
    <row r="21">
      <c r="A21" s="7" t="n">
        <v>11</v>
      </c>
      <c r="B21" s="7" t="n">
        <v>1500000000</v>
      </c>
      <c r="C21" s="7" t="n">
        <v>39.792282</v>
      </c>
      <c r="D21" s="7" t="n">
        <v>-1.3e-05</v>
      </c>
      <c r="E21" s="7" t="n">
        <v>0.127644</v>
      </c>
      <c r="F21" t="n">
        <v>21.792282</v>
      </c>
      <c r="G21" t="n">
        <v>26.496352</v>
      </c>
      <c r="H21" t="n">
        <v>9.532970000000001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>
        <f>C21+J21</f>
        <v/>
      </c>
      <c r="Q21" s="9">
        <f>D21-L21</f>
        <v/>
      </c>
      <c r="R21" s="9">
        <f>(E21-M21)*K21</f>
        <v/>
      </c>
      <c r="S21" s="9">
        <f>F21+J21</f>
        <v/>
      </c>
      <c r="T21" s="9">
        <f>((U21-O21)/(N21*R21))*100</f>
        <v/>
      </c>
      <c r="U21" s="9">
        <f>(10^(P21/10))/1000</f>
        <v/>
      </c>
    </row>
    <row r="22">
      <c r="A22" s="7" t="n">
        <v>12</v>
      </c>
      <c r="B22" s="7" t="n">
        <v>1600000000</v>
      </c>
      <c r="C22" s="7" t="n">
        <v>40.269049</v>
      </c>
      <c r="D22" s="7" t="n">
        <v>0.000121</v>
      </c>
      <c r="E22" s="7" t="n">
        <v>0.131258</v>
      </c>
      <c r="F22" t="n">
        <v>22.269049</v>
      </c>
      <c r="G22" t="n">
        <v>28.776453</v>
      </c>
      <c r="H22" t="n">
        <v>10.6391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>
        <f>C22+J22</f>
        <v/>
      </c>
      <c r="Q22" s="9">
        <f>D22-L22</f>
        <v/>
      </c>
      <c r="R22" s="9">
        <f>(E22-M22)*K22</f>
        <v/>
      </c>
      <c r="S22" s="9">
        <f>F22+J22</f>
        <v/>
      </c>
      <c r="T22" s="9">
        <f>((U22-O22)/(N22*R22))*100</f>
        <v/>
      </c>
      <c r="U22" s="9">
        <f>(10^(P22/10))/1000</f>
        <v/>
      </c>
    </row>
    <row r="23">
      <c r="A23" s="7" t="n">
        <v>13</v>
      </c>
      <c r="B23" s="7" t="n">
        <v>1700000000</v>
      </c>
      <c r="C23" s="7" t="n">
        <v>40.321244</v>
      </c>
      <c r="D23" s="7" t="n">
        <v>0.000146</v>
      </c>
      <c r="E23" s="7" t="n">
        <v>0.134406</v>
      </c>
      <c r="F23" t="n">
        <v>22.321244</v>
      </c>
      <c r="G23" t="n">
        <v>28.444407</v>
      </c>
      <c r="H23" t="n">
        <v>10.767736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>
        <f>C23+J23</f>
        <v/>
      </c>
      <c r="Q23" s="9">
        <f>D23-L23</f>
        <v/>
      </c>
      <c r="R23" s="9">
        <f>(E23-M23)*K23</f>
        <v/>
      </c>
      <c r="S23" s="9">
        <f>F23+J23</f>
        <v/>
      </c>
      <c r="T23" s="9">
        <f>((U23-O23)/(N23*R23))*100</f>
        <v/>
      </c>
      <c r="U23" s="9">
        <f>(10^(P23/10))/1000</f>
        <v/>
      </c>
    </row>
    <row r="24">
      <c r="A24" s="7" t="n">
        <v>14</v>
      </c>
      <c r="B24" s="7" t="n">
        <v>1800000000</v>
      </c>
      <c r="C24" s="7" t="n">
        <v>40.564494</v>
      </c>
      <c r="D24" s="7" t="n">
        <v>2.6e-05</v>
      </c>
      <c r="E24" s="7" t="n">
        <v>0.137478</v>
      </c>
      <c r="F24" t="n">
        <v>22.564494</v>
      </c>
      <c r="G24" t="n">
        <v>29.420088</v>
      </c>
      <c r="H24" t="n">
        <v>11.388052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>
        <f>C24+J24</f>
        <v/>
      </c>
      <c r="Q24" s="9">
        <f>D24-L24</f>
        <v/>
      </c>
      <c r="R24" s="9">
        <f>(E24-M24)*K24</f>
        <v/>
      </c>
      <c r="S24" s="9">
        <f>F24+J24</f>
        <v/>
      </c>
      <c r="T24" s="9">
        <f>((U24-O24)/(N24*R24))*100</f>
        <v/>
      </c>
      <c r="U24" s="9">
        <f>(10^(P24/10))/1000</f>
        <v/>
      </c>
    </row>
    <row r="25">
      <c r="A25" s="7" t="n">
        <v>15</v>
      </c>
      <c r="B25" s="7" t="n">
        <v>1900000000</v>
      </c>
      <c r="C25" s="7" t="n">
        <v>40.463489</v>
      </c>
      <c r="D25" s="7" t="n">
        <v>-0.000246</v>
      </c>
      <c r="E25" s="7" t="n">
        <v>0.140542</v>
      </c>
      <c r="F25" t="n">
        <v>22.463489</v>
      </c>
      <c r="G25" t="n">
        <v>28.113503</v>
      </c>
      <c r="H25" t="n">
        <v>11.126253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>
        <f>C25+J25</f>
        <v/>
      </c>
      <c r="Q25" s="9">
        <f>D25-L25</f>
        <v/>
      </c>
      <c r="R25" s="9">
        <f>(E25-M25)*K25</f>
        <v/>
      </c>
      <c r="S25" s="9">
        <f>F25+J25</f>
        <v/>
      </c>
      <c r="T25" s="9">
        <f>((U25-O25)/(N25*R25))*100</f>
        <v/>
      </c>
      <c r="U25" s="9">
        <f>(10^(P25/10))/1000</f>
        <v/>
      </c>
    </row>
    <row r="26">
      <c r="A26" s="7" t="n">
        <v>16</v>
      </c>
      <c r="B26" s="7" t="n">
        <v>2000000000</v>
      </c>
      <c r="C26" s="7" t="n">
        <v>40.779746</v>
      </c>
      <c r="D26" s="7" t="n">
        <v>-0.000275</v>
      </c>
      <c r="E26" s="7" t="n">
        <v>0.14484</v>
      </c>
      <c r="F26" t="n">
        <v>22.779746</v>
      </c>
      <c r="G26" t="n">
        <v>29.35162</v>
      </c>
      <c r="H26" t="n">
        <v>11.966706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>
        <f>C26+J26</f>
        <v/>
      </c>
      <c r="Q26" s="9">
        <f>D26-L26</f>
        <v/>
      </c>
      <c r="R26" s="9">
        <f>(E26-M26)*K26</f>
        <v/>
      </c>
      <c r="S26" s="9">
        <f>F26+J26</f>
        <v/>
      </c>
      <c r="T26" s="9">
        <f>((U26-O26)/(N26*R26))*100</f>
        <v/>
      </c>
      <c r="U26" s="9">
        <f>(10^(P26/10))/1000</f>
        <v/>
      </c>
    </row>
    <row r="27">
      <c r="A27" s="7" t="n">
        <v>17</v>
      </c>
      <c r="B27" s="7" t="n">
        <v>2100000000</v>
      </c>
      <c r="C27" s="7" t="n">
        <v>40.736565</v>
      </c>
      <c r="D27" s="7" t="n">
        <v>-0.000291</v>
      </c>
      <c r="E27" s="7" t="n">
        <v>0.141091</v>
      </c>
      <c r="F27" t="n">
        <v>22.736565</v>
      </c>
      <c r="G27" t="n">
        <v>29.831912</v>
      </c>
      <c r="H27" t="n">
        <v>11.848312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>
        <f>C27+J27</f>
        <v/>
      </c>
      <c r="Q27" s="9">
        <f>D27-L27</f>
        <v/>
      </c>
      <c r="R27" s="9">
        <f>(E27-M27)*K27</f>
        <v/>
      </c>
      <c r="S27" s="9">
        <f>F27+J27</f>
        <v/>
      </c>
      <c r="T27" s="9">
        <f>((U27-O27)/(N27*R27))*100</f>
        <v/>
      </c>
      <c r="U27" s="9">
        <f>(10^(P27/10))/1000</f>
        <v/>
      </c>
    </row>
    <row r="28">
      <c r="A28" s="7" t="n">
        <v>18</v>
      </c>
      <c r="B28" s="7" t="n">
        <v>2200000000</v>
      </c>
      <c r="C28" s="7" t="n">
        <v>40.161004</v>
      </c>
      <c r="D28" s="7" t="n">
        <v>2.5e-05</v>
      </c>
      <c r="E28" s="7" t="n">
        <v>0.136476</v>
      </c>
      <c r="F28" t="n">
        <v>22.161004</v>
      </c>
      <c r="G28" t="n">
        <v>26.992149</v>
      </c>
      <c r="H28" t="n">
        <v>10.377682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>
        <f>C28+J28</f>
        <v/>
      </c>
      <c r="Q28" s="9">
        <f>D28-L28</f>
        <v/>
      </c>
      <c r="R28" s="9">
        <f>(E28-M28)*K28</f>
        <v/>
      </c>
      <c r="S28" s="9">
        <f>F28+J28</f>
        <v/>
      </c>
      <c r="T28" s="9">
        <f>((U28-O28)/(N28*R28))*100</f>
        <v/>
      </c>
      <c r="U28" s="9">
        <f>(10^(P28/10))/1000</f>
        <v/>
      </c>
    </row>
    <row r="29">
      <c r="A29" s="7" t="n">
        <v>19</v>
      </c>
      <c r="B29" s="7" t="n">
        <v>2300000000</v>
      </c>
      <c r="C29" s="7" t="n">
        <v>39.842827</v>
      </c>
      <c r="D29" s="7" t="n">
        <v>-7.6e-05</v>
      </c>
      <c r="E29" s="7" t="n">
        <v>0.133093</v>
      </c>
      <c r="F29" t="n">
        <v>21.842827</v>
      </c>
      <c r="G29" t="n">
        <v>25.711003</v>
      </c>
      <c r="H29" t="n">
        <v>9.644565999999999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>
        <f>C29+J29</f>
        <v/>
      </c>
      <c r="Q29" s="9">
        <f>D29-L29</f>
        <v/>
      </c>
      <c r="R29" s="9">
        <f>(E29-M29)*K29</f>
        <v/>
      </c>
      <c r="S29" s="9">
        <f>F29+J29</f>
        <v/>
      </c>
      <c r="T29" s="9">
        <f>((U29-O29)/(N29*R29))*100</f>
        <v/>
      </c>
      <c r="U29" s="9">
        <f>(10^(P29/10))/1000</f>
        <v/>
      </c>
    </row>
    <row r="30">
      <c r="A30" s="7" t="n">
        <v>20</v>
      </c>
      <c r="B30" s="7" t="n">
        <v>2400000000</v>
      </c>
      <c r="C30" s="7" t="n">
        <v>39.314206</v>
      </c>
      <c r="D30" s="7" t="n">
        <v>0.000285</v>
      </c>
      <c r="E30" s="7" t="n">
        <v>0.130008</v>
      </c>
      <c r="F30" t="n">
        <v>21.314206</v>
      </c>
      <c r="G30" t="n">
        <v>23.284739</v>
      </c>
      <c r="H30" t="n">
        <v>8.539266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>
        <f>C30+J30</f>
        <v/>
      </c>
      <c r="Q30" s="9">
        <f>D30-L30</f>
        <v/>
      </c>
      <c r="R30" s="9">
        <f>(E30-M30)*K30</f>
        <v/>
      </c>
      <c r="S30" s="9">
        <f>F30+J30</f>
        <v/>
      </c>
      <c r="T30" s="9">
        <f>((U30-O30)/(N30*R30))*100</f>
        <v/>
      </c>
      <c r="U30" s="9">
        <f>(10^(P30/10))/1000</f>
        <v/>
      </c>
    </row>
    <row r="31">
      <c r="A31" s="7" t="n">
        <v>21</v>
      </c>
      <c r="B31" s="7" t="n">
        <v>2500000000</v>
      </c>
      <c r="C31" s="7" t="n">
        <v>39.411911</v>
      </c>
      <c r="D31" s="7" t="n">
        <v>-0.000195</v>
      </c>
      <c r="E31" s="7" t="n">
        <v>0.13078</v>
      </c>
      <c r="F31" t="n">
        <v>21.411911</v>
      </c>
      <c r="G31" t="n">
        <v>23.67787</v>
      </c>
      <c r="H31" t="n">
        <v>8.733555000000001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>
        <f>C31+J31</f>
        <v/>
      </c>
      <c r="Q31" s="9">
        <f>D31-L31</f>
        <v/>
      </c>
      <c r="R31" s="9">
        <f>(E31-M31)*K31</f>
        <v/>
      </c>
      <c r="S31" s="9">
        <f>F31+J31</f>
        <v/>
      </c>
      <c r="T31" s="9">
        <f>((U31-O31)/(N31*R31))*100</f>
        <v/>
      </c>
      <c r="U31" s="9">
        <f>(10^(P31/10))/1000</f>
        <v/>
      </c>
    </row>
    <row r="32">
      <c r="A32" s="7" t="n">
        <v>22</v>
      </c>
      <c r="B32" s="7" t="n">
        <v>2600000000</v>
      </c>
      <c r="C32" s="7" t="n">
        <v>39.750725</v>
      </c>
      <c r="D32" s="7" t="n">
        <v>-0.000355</v>
      </c>
      <c r="E32" s="7" t="n">
        <v>0.132299</v>
      </c>
      <c r="F32" t="n">
        <v>21.750725</v>
      </c>
      <c r="G32" t="n">
        <v>25.318888</v>
      </c>
      <c r="H32" t="n">
        <v>9.442185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>
        <f>C32+J32</f>
        <v/>
      </c>
      <c r="Q32" s="9">
        <f>D32-L32</f>
        <v/>
      </c>
      <c r="R32" s="9">
        <f>(E32-M32)*K32</f>
        <v/>
      </c>
      <c r="S32" s="9">
        <f>F32+J32</f>
        <v/>
      </c>
      <c r="T32" s="9">
        <f>((U32-O32)/(N32*R32))*100</f>
        <v/>
      </c>
      <c r="U32" s="9">
        <f>(10^(P32/10))/1000</f>
        <v/>
      </c>
    </row>
    <row r="33">
      <c r="A33" s="7" t="n">
        <v>23</v>
      </c>
      <c r="B33" s="7" t="n">
        <v>2700000000</v>
      </c>
      <c r="C33" s="7" t="n">
        <v>39.674391</v>
      </c>
      <c r="D33" s="7" t="n">
        <v>6.999999999999999e-05</v>
      </c>
      <c r="E33" s="7" t="n">
        <v>0.131728</v>
      </c>
      <c r="F33" t="n">
        <v>21.674391</v>
      </c>
      <c r="G33" t="n">
        <v>24.982727</v>
      </c>
      <c r="H33" t="n">
        <v>9.277673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>
        <f>C33+J33</f>
        <v/>
      </c>
      <c r="Q33" s="9">
        <f>D33-L33</f>
        <v/>
      </c>
      <c r="R33" s="9">
        <f>(E33-M33)*K33</f>
        <v/>
      </c>
      <c r="S33" s="9">
        <f>F33+J33</f>
        <v/>
      </c>
      <c r="T33" s="9">
        <f>((U33-O33)/(N33*R33))*100</f>
        <v/>
      </c>
      <c r="U33" s="9">
        <f>(10^(P33/10))/1000</f>
        <v/>
      </c>
    </row>
    <row r="34">
      <c r="A34" s="7" t="n">
        <v>24</v>
      </c>
      <c r="B34" s="7" t="n">
        <v>2800000000</v>
      </c>
      <c r="C34" s="7" t="n">
        <v>39.62398</v>
      </c>
      <c r="D34" s="7" t="n">
        <v>-0.000677</v>
      </c>
      <c r="E34" s="7" t="n">
        <v>0.132997</v>
      </c>
      <c r="F34" t="n">
        <v>21.62398</v>
      </c>
      <c r="G34" t="n">
        <v>24.456883</v>
      </c>
      <c r="H34" t="n">
        <v>9.170605999999999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>
        <f>C34+J34</f>
        <v/>
      </c>
      <c r="Q34" s="9">
        <f>D34-L34</f>
        <v/>
      </c>
      <c r="R34" s="9">
        <f>(E34-M34)*K34</f>
        <v/>
      </c>
      <c r="S34" s="9">
        <f>F34+J34</f>
        <v/>
      </c>
      <c r="T34" s="9">
        <f>((U34-O34)/(N34*R34))*100</f>
        <v/>
      </c>
      <c r="U34" s="9">
        <f>(10^(P34/10))/1000</f>
        <v/>
      </c>
    </row>
    <row r="35">
      <c r="A35" s="7" t="n">
        <v>25</v>
      </c>
      <c r="B35" s="7" t="n">
        <v>2900000000</v>
      </c>
      <c r="C35" s="7" t="n">
        <v>39.878219</v>
      </c>
      <c r="D35" s="7" t="n">
        <v>-0.000181</v>
      </c>
      <c r="E35" s="7" t="n">
        <v>0.135577</v>
      </c>
      <c r="F35" t="n">
        <v>21.878219</v>
      </c>
      <c r="G35" t="n">
        <v>25.447795</v>
      </c>
      <c r="H35" t="n">
        <v>9.723485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>
        <f>C35+J35</f>
        <v/>
      </c>
      <c r="Q35" s="9">
        <f>D35-L35</f>
        <v/>
      </c>
      <c r="R35" s="9">
        <f>(E35-M35)*K35</f>
        <v/>
      </c>
      <c r="S35" s="9">
        <f>F35+J35</f>
        <v/>
      </c>
      <c r="T35" s="9">
        <f>((U35-O35)/(N35*R35))*100</f>
        <v/>
      </c>
      <c r="U35" s="9">
        <f>(10^(P35/10))/1000</f>
        <v/>
      </c>
    </row>
    <row r="36">
      <c r="A36" s="7" t="n">
        <v>26</v>
      </c>
      <c r="B36" s="7" t="n">
        <v>3000000000</v>
      </c>
      <c r="C36" s="7" t="n">
        <v>39.913406</v>
      </c>
      <c r="D36" s="7" t="n">
        <v>-0.000347</v>
      </c>
      <c r="E36" s="7" t="n">
        <v>0.136461</v>
      </c>
      <c r="F36" t="n">
        <v>21.913406</v>
      </c>
      <c r="G36" t="n">
        <v>25.489902</v>
      </c>
      <c r="H36" t="n">
        <v>9.802584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>
        <f>C36+J36</f>
        <v/>
      </c>
      <c r="Q36" s="9">
        <f>D36-L36</f>
        <v/>
      </c>
      <c r="R36" s="9">
        <f>(E36-M36)*K36</f>
        <v/>
      </c>
      <c r="S36" s="9">
        <f>F36+J36</f>
        <v/>
      </c>
      <c r="T36" s="9">
        <f>((U36-O36)/(N36*R36))*100</f>
        <v/>
      </c>
      <c r="U36" s="9">
        <f>(10^(P36/10))/1000</f>
        <v/>
      </c>
    </row>
    <row r="37">
      <c r="A37" s="7" t="n">
        <v>27</v>
      </c>
      <c r="B37" s="7" t="n">
        <v>3100000000</v>
      </c>
      <c r="C37" s="7" t="n">
        <v>40.076007</v>
      </c>
      <c r="D37" s="7" t="n">
        <v>-8.3e-05</v>
      </c>
      <c r="E37" s="7" t="n">
        <v>0.140094</v>
      </c>
      <c r="F37" t="n">
        <v>22.076007</v>
      </c>
      <c r="G37" t="n">
        <v>25.782409</v>
      </c>
      <c r="H37" t="n">
        <v>10.176553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>
        <f>C37+J37</f>
        <v/>
      </c>
      <c r="Q37" s="9">
        <f>D37-L37</f>
        <v/>
      </c>
      <c r="R37" s="9">
        <f>(E37-M37)*K37</f>
        <v/>
      </c>
      <c r="S37" s="9">
        <f>F37+J37</f>
        <v/>
      </c>
      <c r="T37" s="9">
        <f>((U37-O37)/(N37*R37))*100</f>
        <v/>
      </c>
      <c r="U37" s="9">
        <f>(10^(P37/10))/1000</f>
        <v/>
      </c>
    </row>
    <row r="38">
      <c r="A38" s="7" t="n">
        <v>28</v>
      </c>
      <c r="B38" s="7" t="n">
        <v>3200000000</v>
      </c>
      <c r="C38" s="7" t="n">
        <v>40.025594</v>
      </c>
      <c r="D38" s="7" t="n">
        <v>-0.000291</v>
      </c>
      <c r="E38" s="7" t="n">
        <v>0.145107</v>
      </c>
      <c r="F38" t="n">
        <v>22.025594</v>
      </c>
      <c r="G38" t="n">
        <v>24.602632</v>
      </c>
      <c r="H38" t="n">
        <v>10.059107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>
        <f>C38+J38</f>
        <v/>
      </c>
      <c r="Q38" s="9">
        <f>D38-L38</f>
        <v/>
      </c>
      <c r="R38" s="9">
        <f>(E38-M38)*K38</f>
        <v/>
      </c>
      <c r="S38" s="9">
        <f>F38+J38</f>
        <v/>
      </c>
      <c r="T38" s="9">
        <f>((U38-O38)/(N38*R38))*100</f>
        <v/>
      </c>
      <c r="U38" s="9">
        <f>(10^(P38/10))/1000</f>
        <v/>
      </c>
    </row>
    <row r="39">
      <c r="A39" s="7" t="n">
        <v>29</v>
      </c>
      <c r="B39" s="7" t="n">
        <v>3300000000</v>
      </c>
      <c r="C39" s="7" t="n">
        <v>39.767722</v>
      </c>
      <c r="D39" s="7" t="n">
        <v>-0.000242</v>
      </c>
      <c r="E39" s="7" t="n">
        <v>0.144987</v>
      </c>
      <c r="F39" t="n">
        <v>21.767722</v>
      </c>
      <c r="G39" t="n">
        <v>23.194548</v>
      </c>
      <c r="H39" t="n">
        <v>9.47921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>
        <f>C39+J39</f>
        <v/>
      </c>
      <c r="Q39" s="9">
        <f>D39-L39</f>
        <v/>
      </c>
      <c r="R39" s="9">
        <f>(E39-M39)*K39</f>
        <v/>
      </c>
      <c r="S39" s="9">
        <f>F39+J39</f>
        <v/>
      </c>
      <c r="T39" s="9">
        <f>((U39-O39)/(N39*R39))*100</f>
        <v/>
      </c>
      <c r="U39" s="9">
        <f>(10^(P39/10))/1000</f>
        <v/>
      </c>
    </row>
    <row r="40">
      <c r="A40" s="7" t="n">
        <v>30</v>
      </c>
      <c r="B40" s="7" t="n">
        <v>3400000000</v>
      </c>
      <c r="C40" s="7" t="n">
        <v>40.115341</v>
      </c>
      <c r="D40" s="7" t="n">
        <v>-0.00029</v>
      </c>
      <c r="E40" s="7" t="n">
        <v>0.146148</v>
      </c>
      <c r="F40" t="n">
        <v>22.115341</v>
      </c>
      <c r="G40" t="n">
        <v>24.940523</v>
      </c>
      <c r="H40" t="n">
        <v>10.269141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>
        <f>C40+J40</f>
        <v/>
      </c>
      <c r="Q40" s="9">
        <f>D40-L40</f>
        <v/>
      </c>
      <c r="R40" s="9">
        <f>(E40-M40)*K40</f>
        <v/>
      </c>
      <c r="S40" s="9">
        <f>F40+J40</f>
        <v/>
      </c>
      <c r="T40" s="9">
        <f>((U40-O40)/(N40*R40))*100</f>
        <v/>
      </c>
      <c r="U40" s="9">
        <f>(10^(P40/10))/1000</f>
        <v/>
      </c>
    </row>
    <row r="41">
      <c r="A41" s="7" t="n">
        <v>31</v>
      </c>
      <c r="B41" s="7" t="n">
        <v>3500000000</v>
      </c>
      <c r="C41" s="7" t="n">
        <v>40.248235</v>
      </c>
      <c r="D41" s="7" t="n">
        <v>-0.000325</v>
      </c>
      <c r="E41" s="7" t="n">
        <v>0.148877</v>
      </c>
      <c r="F41" t="n">
        <v>22.248235</v>
      </c>
      <c r="G41" t="n">
        <v>25.248896</v>
      </c>
      <c r="H41" t="n">
        <v>10.588233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>
        <f>C41+J41</f>
        <v/>
      </c>
      <c r="Q41" s="9">
        <f>D41-L41</f>
        <v/>
      </c>
      <c r="R41" s="9">
        <f>(E41-M41)*K41</f>
        <v/>
      </c>
      <c r="S41" s="9">
        <f>F41+J41</f>
        <v/>
      </c>
      <c r="T41" s="9">
        <f>((U41-O41)/(N41*R41))*100</f>
        <v/>
      </c>
      <c r="U41" s="9">
        <f>(10^(P41/10))/1000</f>
        <v/>
      </c>
    </row>
    <row r="42">
      <c r="A42" s="7" t="n">
        <v>32</v>
      </c>
      <c r="B42" s="7" t="n">
        <v>3600000000</v>
      </c>
      <c r="C42" s="7" t="n">
        <v>40.295223</v>
      </c>
      <c r="D42" s="7" t="n">
        <v>-0.000174</v>
      </c>
      <c r="E42" s="7" t="n">
        <v>0.151449</v>
      </c>
      <c r="F42" t="n">
        <v>22.295223</v>
      </c>
      <c r="G42" t="n">
        <v>25.091757</v>
      </c>
      <c r="H42" t="n">
        <v>10.703413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>
        <f>C42+J42</f>
        <v/>
      </c>
      <c r="Q42" s="9">
        <f>D42-L42</f>
        <v/>
      </c>
      <c r="R42" s="9">
        <f>(E42-M42)*K42</f>
        <v/>
      </c>
      <c r="S42" s="9">
        <f>F42+J42</f>
        <v/>
      </c>
      <c r="T42" s="9">
        <f>((U42-O42)/(N42*R42))*100</f>
        <v/>
      </c>
      <c r="U42" s="9">
        <f>(10^(P42/10))/1000</f>
        <v/>
      </c>
    </row>
    <row r="43">
      <c r="A43" s="7" t="n">
        <v>33</v>
      </c>
      <c r="B43" s="7" t="n">
        <v>3700000000</v>
      </c>
      <c r="C43" s="7" t="n">
        <v>40.418698</v>
      </c>
      <c r="D43" s="7" t="n">
        <v>-6.4e-05</v>
      </c>
      <c r="E43" s="7" t="n">
        <v>0.153032</v>
      </c>
      <c r="F43" t="n">
        <v>22.418698</v>
      </c>
      <c r="G43" t="n">
        <v>25.552564</v>
      </c>
      <c r="H43" t="n">
        <v>11.012091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>
        <f>C43+J43</f>
        <v/>
      </c>
      <c r="Q43" s="9">
        <f>D43-L43</f>
        <v/>
      </c>
      <c r="R43" s="9">
        <f>(E43-M43)*K43</f>
        <v/>
      </c>
      <c r="S43" s="9">
        <f>F43+J43</f>
        <v/>
      </c>
      <c r="T43" s="9">
        <f>((U43-O43)/(N43*R43))*100</f>
        <v/>
      </c>
      <c r="U43" s="9">
        <f>(10^(P43/10))/1000</f>
        <v/>
      </c>
    </row>
    <row r="44">
      <c r="A44" s="7" t="n">
        <v>34</v>
      </c>
      <c r="B44" s="7" t="n">
        <v>3800000000</v>
      </c>
      <c r="C44" s="7" t="n">
        <v>40.561067</v>
      </c>
      <c r="D44" s="7" t="n">
        <v>-0.000523</v>
      </c>
      <c r="E44" s="7" t="n">
        <v>0.15787</v>
      </c>
      <c r="F44" t="n">
        <v>22.561067</v>
      </c>
      <c r="G44" t="n">
        <v>25.59959</v>
      </c>
      <c r="H44" t="n">
        <v>11.379069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>
        <f>C44+J44</f>
        <v/>
      </c>
      <c r="Q44" s="9">
        <f>D44-L44</f>
        <v/>
      </c>
      <c r="R44" s="9">
        <f>(E44-M44)*K44</f>
        <v/>
      </c>
      <c r="S44" s="9">
        <f>F44+J44</f>
        <v/>
      </c>
      <c r="T44" s="9">
        <f>((U44-O44)/(N44*R44))*100</f>
        <v/>
      </c>
      <c r="U44" s="9">
        <f>(10^(P44/10))/1000</f>
        <v/>
      </c>
    </row>
    <row r="45">
      <c r="A45" s="7" t="n">
        <v>35</v>
      </c>
      <c r="B45" s="7" t="n">
        <v>3900000000</v>
      </c>
      <c r="C45" s="7" t="n">
        <v>40.868761</v>
      </c>
      <c r="D45" s="7" t="n">
        <v>-0.000403</v>
      </c>
      <c r="E45" s="7" t="n">
        <v>0.166843</v>
      </c>
      <c r="F45" t="n">
        <v>22.868761</v>
      </c>
      <c r="G45" t="n">
        <v>26.011304</v>
      </c>
      <c r="H45" t="n">
        <v>12.214511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>
        <f>C45+J45</f>
        <v/>
      </c>
      <c r="Q45" s="9">
        <f>D45-L45</f>
        <v/>
      </c>
      <c r="R45" s="9">
        <f>(E45-M45)*K45</f>
        <v/>
      </c>
      <c r="S45" s="9">
        <f>F45+J45</f>
        <v/>
      </c>
      <c r="T45" s="9">
        <f>((U45-O45)/(N45*R45))*100</f>
        <v/>
      </c>
      <c r="U45" s="9">
        <f>(10^(P45/10))/1000</f>
        <v/>
      </c>
    </row>
    <row r="46">
      <c r="A46" s="7" t="n">
        <v>36</v>
      </c>
      <c r="B46" s="7" t="n">
        <v>4000000000</v>
      </c>
      <c r="C46" s="7" t="n">
        <v>41.052913</v>
      </c>
      <c r="D46" s="7" t="n">
        <v>-0.000456</v>
      </c>
      <c r="E46" s="7" t="n">
        <v>0.172913</v>
      </c>
      <c r="F46" t="n">
        <v>23.052913</v>
      </c>
      <c r="G46" t="n">
        <v>26.19084</v>
      </c>
      <c r="H46" t="n">
        <v>12.743575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>
        <f>C46+J46</f>
        <v/>
      </c>
      <c r="Q46" s="9">
        <f>D46-L46</f>
        <v/>
      </c>
      <c r="R46" s="9">
        <f>(E46-M46)*K46</f>
        <v/>
      </c>
      <c r="S46" s="9">
        <f>F46+J46</f>
        <v/>
      </c>
      <c r="T46" s="9">
        <f>((U46-O46)/(N46*R46))*100</f>
        <v/>
      </c>
      <c r="U46" s="9">
        <f>(10^(P46/10))/1000</f>
        <v/>
      </c>
    </row>
    <row r="47">
      <c r="A47" s="7" t="n">
        <v>37</v>
      </c>
      <c r="B47" s="7" t="n">
        <v>4100000000</v>
      </c>
      <c r="C47" s="7" t="n">
        <v>41.14297</v>
      </c>
      <c r="D47" s="7" t="n">
        <v>-0.000353</v>
      </c>
      <c r="E47" s="7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7" t="n">
        <v>38</v>
      </c>
      <c r="B48" s="7" t="n">
        <v>4200000000</v>
      </c>
      <c r="C48" s="7" t="n">
        <v>40.932515</v>
      </c>
      <c r="D48" s="7" t="n">
        <v>-0.000425</v>
      </c>
      <c r="E48" s="7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7" t="n">
        <v>39</v>
      </c>
      <c r="B49" s="7" t="n">
        <v>4300000000</v>
      </c>
      <c r="C49" s="7" t="n">
        <v>40.857652</v>
      </c>
      <c r="D49" s="7" t="n">
        <v>-0.000347</v>
      </c>
      <c r="E49" s="7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7" t="n">
        <v>40</v>
      </c>
      <c r="B50" s="7" t="n">
        <v>4400000000</v>
      </c>
      <c r="C50" s="7" t="n">
        <v>40.95253</v>
      </c>
      <c r="D50" s="7" t="n">
        <v>-0.000276</v>
      </c>
      <c r="E50" s="7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7" t="n">
        <v>41</v>
      </c>
      <c r="B51" s="7" t="n">
        <v>4500000000</v>
      </c>
      <c r="C51" s="7" t="n">
        <v>40.890987</v>
      </c>
      <c r="D51" s="7" t="n">
        <v>-0.000261</v>
      </c>
      <c r="E51" s="7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7" t="n">
        <v>42</v>
      </c>
      <c r="B52" s="7" t="n">
        <v>4600000000</v>
      </c>
      <c r="C52" s="7" t="n">
        <v>40.740238</v>
      </c>
      <c r="D52" s="7" t="n">
        <v>-0.000333</v>
      </c>
      <c r="E52" s="7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7" t="n">
        <v>43</v>
      </c>
      <c r="B53" s="7" t="n">
        <v>4700000000</v>
      </c>
      <c r="C53" s="7" t="n">
        <v>40.590238</v>
      </c>
      <c r="D53" s="7" t="n">
        <v>-0.000432</v>
      </c>
      <c r="E53" s="7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7" t="n">
        <v>44</v>
      </c>
      <c r="B54" s="7" t="n">
        <v>4800000000</v>
      </c>
      <c r="C54" s="7" t="n">
        <v>40.312879</v>
      </c>
      <c r="D54" s="7" t="n">
        <v>-0.00012</v>
      </c>
      <c r="E54" s="7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7" t="n">
        <v>45</v>
      </c>
      <c r="B55" s="7" t="n">
        <v>4900000000</v>
      </c>
      <c r="C55" s="7" t="n">
        <v>40.164663</v>
      </c>
      <c r="D55" s="7" t="n">
        <v>-0.000235</v>
      </c>
      <c r="E55" s="7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7" t="n">
        <v>46</v>
      </c>
      <c r="B56" s="7" t="n">
        <v>5000000000</v>
      </c>
      <c r="C56" s="7" t="n">
        <v>40.139931</v>
      </c>
      <c r="D56" s="7" t="n">
        <v>-0.000525</v>
      </c>
      <c r="E56" s="7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7" t="n">
        <v>47</v>
      </c>
      <c r="B57" s="7" t="n">
        <v>5100000000</v>
      </c>
      <c r="C57" s="7" t="n">
        <v>39.991157</v>
      </c>
      <c r="D57" s="7" t="n">
        <v>-1.1e-05</v>
      </c>
      <c r="E57" s="7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7" t="n">
        <v>48</v>
      </c>
      <c r="B58" s="7" t="n">
        <v>5200000000</v>
      </c>
      <c r="C58" s="7" t="n">
        <v>40.056314</v>
      </c>
      <c r="D58" s="7" t="n">
        <v>-0.000364</v>
      </c>
      <c r="E58" s="7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7" t="n">
        <v>49</v>
      </c>
      <c r="B59" s="7" t="n">
        <v>5300000000</v>
      </c>
      <c r="C59" s="7" t="n">
        <v>40.021053</v>
      </c>
      <c r="D59" s="7" t="n">
        <v>-0.00061</v>
      </c>
      <c r="E59" s="7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7" t="n">
        <v>50</v>
      </c>
      <c r="B60" s="7" t="n">
        <v>5400000000</v>
      </c>
      <c r="C60" s="7" t="n">
        <v>39.869246</v>
      </c>
      <c r="D60" s="7" t="n">
        <v>-7.6e-05</v>
      </c>
      <c r="E60" s="7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7" t="n">
        <v>51</v>
      </c>
      <c r="B61" s="7" t="n">
        <v>5500000000</v>
      </c>
      <c r="C61" s="7" t="n">
        <v>39.815987</v>
      </c>
      <c r="D61" s="7" t="n">
        <v>-0.000127</v>
      </c>
      <c r="E61" s="7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7" t="n">
        <v>52</v>
      </c>
      <c r="B62" s="7" t="n">
        <v>5600000000</v>
      </c>
      <c r="C62" s="7" t="n">
        <v>39.758443</v>
      </c>
      <c r="D62" s="7" t="n">
        <v>-0.000157</v>
      </c>
      <c r="E62" s="7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7" t="n">
        <v>53</v>
      </c>
      <c r="B63" s="7" t="n">
        <v>5700000000</v>
      </c>
      <c r="C63" s="7" t="n">
        <v>39.923216</v>
      </c>
      <c r="D63" s="7" t="n">
        <v>-0.000625</v>
      </c>
      <c r="E63" s="7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7" t="n">
        <v>54</v>
      </c>
      <c r="B64" s="7" t="n">
        <v>5800000000</v>
      </c>
      <c r="C64" s="7" t="n">
        <v>40.006102</v>
      </c>
      <c r="D64" s="7" t="n">
        <v>-0.000233</v>
      </c>
      <c r="E64" s="7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7" t="n">
        <v>55</v>
      </c>
      <c r="B65" s="7" t="n">
        <v>5900000000</v>
      </c>
      <c r="C65" s="7" t="n">
        <v>40.023164</v>
      </c>
      <c r="D65" s="7" t="n">
        <v>3.7e-05</v>
      </c>
      <c r="E65" s="7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7" t="n">
        <v>56</v>
      </c>
      <c r="B66" s="7" t="n">
        <v>6000000000</v>
      </c>
      <c r="C66" s="7" t="n">
        <v>39.863692</v>
      </c>
      <c r="D66" s="7" t="n">
        <v>0.000223</v>
      </c>
      <c r="E66" s="7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7" t="n">
        <v>57</v>
      </c>
      <c r="B67" s="7" t="n">
        <v>6100000000</v>
      </c>
      <c r="C67" s="7" t="n">
        <v>39.471449</v>
      </c>
      <c r="D67" s="7" t="n">
        <v>-0.000466</v>
      </c>
      <c r="E67" s="7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7" t="n">
        <v>58</v>
      </c>
      <c r="B68" s="7" t="n">
        <v>6200000000</v>
      </c>
      <c r="C68" s="7" t="n">
        <v>39.561798</v>
      </c>
      <c r="D68" s="7" t="n">
        <v>0.000186</v>
      </c>
      <c r="E68" s="7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7" t="n">
        <v>59</v>
      </c>
      <c r="B69" s="7" t="n">
        <v>6300000000</v>
      </c>
      <c r="C69" s="7" t="n">
        <v>39.537387</v>
      </c>
      <c r="D69" s="7" t="n">
        <v>-0.00016</v>
      </c>
      <c r="E69" s="7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7" t="n">
        <v>60</v>
      </c>
      <c r="B70" s="7" t="n">
        <v>6400000000</v>
      </c>
      <c r="C70" s="7" t="n">
        <v>39.444786</v>
      </c>
      <c r="D70" s="7" t="n">
        <v>-0.000554</v>
      </c>
      <c r="E70" s="7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7" t="n">
        <v>61</v>
      </c>
      <c r="B71" s="7" t="n">
        <v>6500000000</v>
      </c>
      <c r="C71" s="7" t="n">
        <v>39.598378</v>
      </c>
      <c r="D71" s="7" t="n">
        <v>-0.000112</v>
      </c>
      <c r="E71" s="7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7" t="n">
        <v>62</v>
      </c>
      <c r="B72" s="7" t="n">
        <v>6600000000</v>
      </c>
      <c r="C72" s="7" t="n">
        <v>39.315087</v>
      </c>
      <c r="D72" s="7" t="n">
        <v>-0.000489</v>
      </c>
      <c r="E72" s="7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7" t="n">
        <v>63</v>
      </c>
      <c r="B73" s="7" t="n">
        <v>6700000000</v>
      </c>
      <c r="C73" s="7" t="n">
        <v>38.896364</v>
      </c>
      <c r="D73" s="7" t="n">
        <v>-6.9e-05</v>
      </c>
      <c r="E73" s="7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7" t="n">
        <v>64</v>
      </c>
      <c r="B74" s="7" t="n">
        <v>6800000000</v>
      </c>
      <c r="C74" s="7" t="n">
        <v>38.742973</v>
      </c>
      <c r="D74" s="7" t="n">
        <v>-0.000517</v>
      </c>
      <c r="E74" s="7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7" t="n">
        <v>65</v>
      </c>
      <c r="B75" s="7" t="n">
        <v>6900000000</v>
      </c>
      <c r="C75" s="7" t="n">
        <v>38.79432</v>
      </c>
      <c r="D75" s="7" t="n">
        <v>-0.000235</v>
      </c>
      <c r="E75" s="7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7" t="n">
        <v>66</v>
      </c>
      <c r="B76" s="7" t="n">
        <v>7000000000</v>
      </c>
      <c r="C76" s="7" t="n">
        <v>38.8486</v>
      </c>
      <c r="D76" s="7" t="n">
        <v>-0.000254</v>
      </c>
      <c r="E76" s="7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7" t="n">
        <v>67</v>
      </c>
      <c r="B77" s="7" t="n">
        <v>7100000000</v>
      </c>
      <c r="C77" s="7" t="n">
        <v>39.094654</v>
      </c>
      <c r="D77" s="7" t="n">
        <v>-0.000465</v>
      </c>
      <c r="E77" s="7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7" t="n">
        <v>68</v>
      </c>
      <c r="B78" s="7" t="n">
        <v>7200000000</v>
      </c>
      <c r="C78" s="7" t="n">
        <v>39.147133</v>
      </c>
      <c r="D78" s="7" t="n">
        <v>-0.000245</v>
      </c>
      <c r="E78" s="7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7" t="n">
        <v>69</v>
      </c>
      <c r="B79" s="7" t="n">
        <v>7300000000</v>
      </c>
      <c r="C79" s="7" t="n">
        <v>38.870799</v>
      </c>
      <c r="D79" s="7" t="n">
        <v>-0.000506</v>
      </c>
      <c r="E79" s="7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7" t="n">
        <v>70</v>
      </c>
      <c r="B80" s="7" t="n">
        <v>7400000000</v>
      </c>
      <c r="C80" s="7" t="n">
        <v>38.718392</v>
      </c>
      <c r="D80" s="7" t="n">
        <v>-0.000172</v>
      </c>
      <c r="E80" s="7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7" t="n">
        <v>71</v>
      </c>
      <c r="B81" s="7" t="n">
        <v>7500000000</v>
      </c>
      <c r="C81" s="7" t="n">
        <v>38.60547</v>
      </c>
      <c r="D81" s="7" t="n">
        <v>-0.000495</v>
      </c>
      <c r="E81" s="7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7" t="n">
        <v>72</v>
      </c>
      <c r="B82" s="7" t="n">
        <v>7600000000</v>
      </c>
      <c r="C82" s="7" t="n">
        <v>38.500138</v>
      </c>
      <c r="D82" s="7" t="n">
        <v>-0.000456</v>
      </c>
      <c r="E82" s="7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7" t="n">
        <v>73</v>
      </c>
      <c r="B83" s="7" t="n">
        <v>7700000000</v>
      </c>
      <c r="C83" s="7" t="n">
        <v>38.62652</v>
      </c>
      <c r="D83" s="7" t="n">
        <v>-0.000203</v>
      </c>
      <c r="E83" s="7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7" t="n">
        <v>74</v>
      </c>
      <c r="B84" s="7" t="n">
        <v>7800000000</v>
      </c>
      <c r="C84" s="7" t="n">
        <v>38.29222</v>
      </c>
      <c r="D84" s="7" t="n">
        <v>-0.000219</v>
      </c>
      <c r="E84" s="7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7" t="n">
        <v>75</v>
      </c>
      <c r="B85" s="7" t="n">
        <v>7900000000</v>
      </c>
      <c r="C85" s="7" t="n">
        <v>38.121126</v>
      </c>
      <c r="D85" s="7" t="n">
        <v>-4.9e-05</v>
      </c>
      <c r="E85" s="7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7" t="n">
        <v>76</v>
      </c>
      <c r="B86" s="7" t="n">
        <v>8000000000</v>
      </c>
      <c r="C86" s="7" t="n">
        <v>38.129497</v>
      </c>
      <c r="D86" s="7" t="n">
        <v>0.000287</v>
      </c>
      <c r="E86" s="7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7" t="n">
        <v>77</v>
      </c>
      <c r="B87" s="7" t="n">
        <v>8100000000</v>
      </c>
      <c r="C87" s="7" t="n">
        <v>38.04318</v>
      </c>
      <c r="D87" s="7" t="n">
        <v>-0.000233</v>
      </c>
      <c r="E87" s="7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7" t="n">
        <v>78</v>
      </c>
      <c r="B88" s="7" t="n">
        <v>8200000000</v>
      </c>
      <c r="C88" s="7" t="n">
        <v>38.110787</v>
      </c>
      <c r="D88" s="7" t="n">
        <v>-0.000218</v>
      </c>
      <c r="E88" s="7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7" t="n">
        <v>79</v>
      </c>
      <c r="B89" s="7" t="n">
        <v>8300000000</v>
      </c>
      <c r="C89" s="7" t="n">
        <v>38.069767</v>
      </c>
      <c r="D89" s="7" t="n">
        <v>-6.600000000000001e-05</v>
      </c>
      <c r="E89" s="7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7" t="n">
        <v>80</v>
      </c>
      <c r="B90" s="7" t="n">
        <v>8400000000</v>
      </c>
      <c r="C90" s="7" t="n">
        <v>37.633375</v>
      </c>
      <c r="D90" s="7" t="n">
        <v>-0.000306</v>
      </c>
      <c r="E90" s="7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7" t="n">
        <v>81</v>
      </c>
      <c r="B91" s="7" t="n">
        <v>8500000000</v>
      </c>
      <c r="C91" s="7" t="n">
        <v>37.530048</v>
      </c>
      <c r="D91" s="7" t="n">
        <v>-0.00029</v>
      </c>
      <c r="E91" s="7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7" t="n">
        <v>82</v>
      </c>
      <c r="B92" s="7" t="n">
        <v>8600000000</v>
      </c>
      <c r="C92" s="7" t="n">
        <v>37.495442</v>
      </c>
      <c r="D92" s="7" t="n">
        <v>-4.7e-05</v>
      </c>
      <c r="E92" s="7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7" t="n">
        <v>83</v>
      </c>
      <c r="B93" s="7" t="n">
        <v>8700000000</v>
      </c>
      <c r="C93" s="7" t="n">
        <v>37.200622</v>
      </c>
      <c r="D93" s="7" t="n">
        <v>-0.000371</v>
      </c>
      <c r="E93" s="7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7" t="n">
        <v>84</v>
      </c>
      <c r="B94" s="7" t="n">
        <v>8800000000</v>
      </c>
      <c r="C94" s="7" t="n">
        <v>37.225019</v>
      </c>
      <c r="D94" s="7" t="n">
        <v>-0.00016</v>
      </c>
      <c r="E94" s="7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7" t="n">
        <v>85</v>
      </c>
      <c r="B95" s="7" t="n">
        <v>8900000000</v>
      </c>
      <c r="C95" s="7" t="n">
        <v>37.23369</v>
      </c>
      <c r="D95" s="7" t="n">
        <v>-0.000188</v>
      </c>
      <c r="E95" s="7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7" t="n">
        <v>86</v>
      </c>
      <c r="B96" s="7" t="n">
        <v>9000000000</v>
      </c>
      <c r="C96" s="7" t="n">
        <v>37.121204</v>
      </c>
      <c r="D96" s="7" t="n">
        <v>0.000104</v>
      </c>
      <c r="E96" s="7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  <row r="501">
      <c r="A501" s="7" t="n"/>
      <c r="B501" s="7" t="n"/>
      <c r="C501" s="7" t="n"/>
      <c r="D501" s="7" t="n"/>
      <c r="E501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39.382375</v>
      </c>
      <c r="D11" s="14" t="n">
        <v>-0.000122</v>
      </c>
      <c r="E11" s="14" t="n">
        <v>0.517985</v>
      </c>
      <c r="F11" t="n">
        <v>12.382375</v>
      </c>
      <c r="G11" t="n">
        <v>56.352756</v>
      </c>
      <c r="H11" t="n">
        <v>8.674360999999999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39.382375</v>
      </c>
      <c r="Q11" s="9" t="n">
        <v>-0.000122</v>
      </c>
      <c r="R11" s="9" t="n">
        <v>0.517985</v>
      </c>
      <c r="S11" s="9" t="n">
        <v>12.382375</v>
      </c>
      <c r="T11" s="9" t="n">
        <v>56.352756</v>
      </c>
      <c r="U11" s="9" t="n">
        <v>8.674360999999999</v>
      </c>
    </row>
    <row r="12">
      <c r="A12" s="14" t="n">
        <v>2</v>
      </c>
      <c r="B12" s="14" t="n">
        <v>600000000</v>
      </c>
      <c r="C12" s="14" t="n">
        <v>39.366771</v>
      </c>
      <c r="D12" s="14" t="n">
        <v>-0.00012</v>
      </c>
      <c r="E12" s="14" t="n">
        <v>0.493286</v>
      </c>
      <c r="F12" t="n">
        <v>12.366771</v>
      </c>
      <c r="G12" t="n">
        <v>58.949217</v>
      </c>
      <c r="H12" t="n">
        <v>8.643250999999999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39.366771</v>
      </c>
      <c r="Q12" s="9" t="n">
        <v>-0.00012</v>
      </c>
      <c r="R12" s="9" t="n">
        <v>0.493286</v>
      </c>
      <c r="S12" s="9" t="n">
        <v>12.366771</v>
      </c>
      <c r="T12" s="9" t="n">
        <v>58.949217</v>
      </c>
      <c r="U12" s="9" t="n">
        <v>8.643250999999999</v>
      </c>
    </row>
    <row r="13">
      <c r="A13" s="14" t="n">
        <v>3</v>
      </c>
      <c r="B13" s="14" t="n">
        <v>700000000</v>
      </c>
      <c r="C13" s="14" t="n">
        <v>39.289049</v>
      </c>
      <c r="D13" s="14" t="n">
        <v>0.000318</v>
      </c>
      <c r="E13" s="14" t="n">
        <v>0.499063</v>
      </c>
      <c r="F13" t="n">
        <v>12.289049</v>
      </c>
      <c r="G13" t="n">
        <v>57.169686</v>
      </c>
      <c r="H13" t="n">
        <v>8.489945000000001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39.289049</v>
      </c>
      <c r="Q13" s="9" t="n">
        <v>0.000318</v>
      </c>
      <c r="R13" s="9" t="n">
        <v>0.499063</v>
      </c>
      <c r="S13" s="9" t="n">
        <v>12.289049</v>
      </c>
      <c r="T13" s="9" t="n">
        <v>57.169686</v>
      </c>
      <c r="U13" s="9" t="n">
        <v>8.489945000000001</v>
      </c>
    </row>
    <row r="14">
      <c r="A14" s="14" t="n">
        <v>4</v>
      </c>
      <c r="B14" s="14" t="n">
        <v>800000000</v>
      </c>
      <c r="C14" s="14" t="n">
        <v>39.619725</v>
      </c>
      <c r="D14" s="14" t="n">
        <v>6.8e-05</v>
      </c>
      <c r="E14" s="14" t="n">
        <v>0.538351</v>
      </c>
      <c r="F14" t="n">
        <v>12.619725</v>
      </c>
      <c r="G14" t="n">
        <v>57.453453</v>
      </c>
      <c r="H14" t="n">
        <v>9.161624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39.619725</v>
      </c>
      <c r="Q14" s="9" t="n">
        <v>6.8e-05</v>
      </c>
      <c r="R14" s="9" t="n">
        <v>0.538351</v>
      </c>
      <c r="S14" s="9" t="n">
        <v>12.619725</v>
      </c>
      <c r="T14" s="9" t="n">
        <v>57.453453</v>
      </c>
      <c r="U14" s="9" t="n">
        <v>9.161624</v>
      </c>
    </row>
    <row r="15">
      <c r="A15" s="14" t="n">
        <v>5</v>
      </c>
      <c r="B15" s="14" t="n">
        <v>900000000</v>
      </c>
      <c r="C15" s="14" t="n">
        <v>39.806788</v>
      </c>
      <c r="D15" s="14" t="n">
        <v>0.00014</v>
      </c>
      <c r="E15" s="14" t="n">
        <v>0.5497649999999999</v>
      </c>
      <c r="F15" t="n">
        <v>12.806788</v>
      </c>
      <c r="G15" t="n">
        <v>58.880179</v>
      </c>
      <c r="H15" t="n">
        <v>9.564864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39.806788</v>
      </c>
      <c r="Q15" s="9" t="n">
        <v>0.00014</v>
      </c>
      <c r="R15" s="9" t="n">
        <v>0.5497649999999999</v>
      </c>
      <c r="S15" s="9" t="n">
        <v>12.806788</v>
      </c>
      <c r="T15" s="9" t="n">
        <v>58.880179</v>
      </c>
      <c r="U15" s="9" t="n">
        <v>9.564864</v>
      </c>
    </row>
    <row r="16">
      <c r="A16" s="14" t="n">
        <v>6</v>
      </c>
      <c r="B16" s="14" t="n">
        <v>1000000000</v>
      </c>
      <c r="C16" s="14" t="n">
        <v>39.812635</v>
      </c>
      <c r="D16" s="14" t="n">
        <v>-0.000331</v>
      </c>
      <c r="E16" s="14" t="n">
        <v>0.5733740000000001</v>
      </c>
      <c r="F16" t="n">
        <v>12.812635</v>
      </c>
      <c r="G16" t="n">
        <v>56.536021</v>
      </c>
      <c r="H16" t="n">
        <v>9.57775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39.812635</v>
      </c>
      <c r="Q16" s="9" t="n">
        <v>-0.000331</v>
      </c>
      <c r="R16" s="9" t="n">
        <v>0.5733740000000001</v>
      </c>
      <c r="S16" s="9" t="n">
        <v>12.812635</v>
      </c>
      <c r="T16" s="9" t="n">
        <v>56.536021</v>
      </c>
      <c r="U16" s="9" t="n">
        <v>9.57775</v>
      </c>
    </row>
    <row r="17">
      <c r="A17" s="14" t="n">
        <v>7</v>
      </c>
      <c r="B17" s="14" t="n">
        <v>1100000000</v>
      </c>
      <c r="C17" s="14" t="n">
        <v>39.725522</v>
      </c>
      <c r="D17" s="14" t="n">
        <v>2.7e-05</v>
      </c>
      <c r="E17" s="14" t="n">
        <v>0.572431</v>
      </c>
      <c r="F17" t="n">
        <v>12.725522</v>
      </c>
      <c r="G17" t="n">
        <v>55.442489</v>
      </c>
      <c r="H17" t="n">
        <v>9.387549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39.725522</v>
      </c>
      <c r="Q17" s="9" t="n">
        <v>2.7e-05</v>
      </c>
      <c r="R17" s="9" t="n">
        <v>0.572431</v>
      </c>
      <c r="S17" s="9" t="n">
        <v>12.725522</v>
      </c>
      <c r="T17" s="9" t="n">
        <v>55.442489</v>
      </c>
      <c r="U17" s="9" t="n">
        <v>9.387549</v>
      </c>
    </row>
    <row r="18">
      <c r="A18" s="14" t="n">
        <v>8</v>
      </c>
      <c r="B18" s="14" t="n">
        <v>1200000000</v>
      </c>
      <c r="C18" s="14" t="n">
        <v>39.374186</v>
      </c>
      <c r="D18" s="14" t="n">
        <v>-0.000115</v>
      </c>
      <c r="E18" s="14" t="n">
        <v>0.591105</v>
      </c>
      <c r="F18" t="n">
        <v>12.374186</v>
      </c>
      <c r="G18" t="n">
        <v>49.283172</v>
      </c>
      <c r="H18" t="n">
        <v>8.658021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39.374186</v>
      </c>
      <c r="Q18" s="9" t="n">
        <v>-0.000115</v>
      </c>
      <c r="R18" s="9" t="n">
        <v>0.591105</v>
      </c>
      <c r="S18" s="9" t="n">
        <v>12.374186</v>
      </c>
      <c r="T18" s="9" t="n">
        <v>49.283172</v>
      </c>
      <c r="U18" s="9" t="n">
        <v>8.658021</v>
      </c>
    </row>
    <row r="19">
      <c r="A19" s="14" t="n">
        <v>9</v>
      </c>
      <c r="B19" s="14" t="n">
        <v>1300000000</v>
      </c>
      <c r="C19" s="14" t="n">
        <v>39.423717</v>
      </c>
      <c r="D19" s="14" t="n">
        <v>-0.000419</v>
      </c>
      <c r="E19" s="14" t="n">
        <v>0.6304419999999999</v>
      </c>
      <c r="F19" t="n">
        <v>12.423717</v>
      </c>
      <c r="G19" t="n">
        <v>46.770689</v>
      </c>
      <c r="H19" t="n">
        <v>8.757329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39.423717</v>
      </c>
      <c r="Q19" s="9" t="n">
        <v>-0.000419</v>
      </c>
      <c r="R19" s="9" t="n">
        <v>0.6304419999999999</v>
      </c>
      <c r="S19" s="9" t="n">
        <v>12.423717</v>
      </c>
      <c r="T19" s="9" t="n">
        <v>46.770689</v>
      </c>
      <c r="U19" s="9" t="n">
        <v>8.757329</v>
      </c>
    </row>
    <row r="20">
      <c r="A20" s="14" t="n">
        <v>10</v>
      </c>
      <c r="B20" s="14" t="n">
        <v>1400000000</v>
      </c>
      <c r="C20" s="14" t="n">
        <v>39.418516</v>
      </c>
      <c r="D20" s="14" t="n">
        <v>-0.000443</v>
      </c>
      <c r="E20" s="14" t="n">
        <v>0.643107</v>
      </c>
      <c r="F20" t="n">
        <v>12.418516</v>
      </c>
      <c r="G20" t="n">
        <v>45.791436</v>
      </c>
      <c r="H20" t="n">
        <v>8.746848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39.418516</v>
      </c>
      <c r="Q20" s="9" t="n">
        <v>-0.000443</v>
      </c>
      <c r="R20" s="9" t="n">
        <v>0.643107</v>
      </c>
      <c r="S20" s="9" t="n">
        <v>12.418516</v>
      </c>
      <c r="T20" s="9" t="n">
        <v>45.791436</v>
      </c>
      <c r="U20" s="9" t="n">
        <v>8.746848</v>
      </c>
    </row>
    <row r="21">
      <c r="A21" s="14" t="n">
        <v>11</v>
      </c>
      <c r="B21" s="14" t="n">
        <v>1500000000</v>
      </c>
      <c r="C21" s="14" t="n">
        <v>39.348883</v>
      </c>
      <c r="D21" s="14" t="n">
        <v>-0.00024</v>
      </c>
      <c r="E21" s="14" t="n">
        <v>0.655046</v>
      </c>
      <c r="F21" t="n">
        <v>12.348883</v>
      </c>
      <c r="G21" t="n">
        <v>44.1983</v>
      </c>
      <c r="H21" t="n">
        <v>8.607723999999999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39.348883</v>
      </c>
      <c r="Q21" s="9" t="n">
        <v>-0.00024</v>
      </c>
      <c r="R21" s="9" t="n">
        <v>0.655046</v>
      </c>
      <c r="S21" s="9" t="n">
        <v>12.348883</v>
      </c>
      <c r="T21" s="9" t="n">
        <v>44.1983</v>
      </c>
      <c r="U21" s="9" t="n">
        <v>8.607723999999999</v>
      </c>
    </row>
    <row r="22">
      <c r="A22" s="14" t="n">
        <v>12</v>
      </c>
      <c r="B22" s="14" t="n">
        <v>1600000000</v>
      </c>
      <c r="C22" s="14" t="n">
        <v>39.248171</v>
      </c>
      <c r="D22" s="14" t="n">
        <v>-0.000295</v>
      </c>
      <c r="E22" s="14" t="n">
        <v>0.674156</v>
      </c>
      <c r="F22" t="n">
        <v>12.248171</v>
      </c>
      <c r="G22" t="n">
        <v>41.900098</v>
      </c>
      <c r="H22" t="n">
        <v>8.410408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39.248171</v>
      </c>
      <c r="Q22" s="9" t="n">
        <v>-0.000295</v>
      </c>
      <c r="R22" s="9" t="n">
        <v>0.674156</v>
      </c>
      <c r="S22" s="9" t="n">
        <v>12.248171</v>
      </c>
      <c r="T22" s="9" t="n">
        <v>41.900098</v>
      </c>
      <c r="U22" s="9" t="n">
        <v>8.410408</v>
      </c>
    </row>
    <row r="23">
      <c r="A23" s="14" t="n">
        <v>13</v>
      </c>
      <c r="B23" s="14" t="n">
        <v>1700000000</v>
      </c>
      <c r="C23" s="14" t="n">
        <v>39.241689</v>
      </c>
      <c r="D23" s="14" t="n">
        <v>-0.00029</v>
      </c>
      <c r="E23" s="14" t="n">
        <v>0.666402</v>
      </c>
      <c r="F23" t="n">
        <v>12.241689</v>
      </c>
      <c r="G23" t="n">
        <v>42.320448</v>
      </c>
      <c r="H23" t="n">
        <v>8.397864999999999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39.241689</v>
      </c>
      <c r="Q23" s="9" t="n">
        <v>-0.00029</v>
      </c>
      <c r="R23" s="9" t="n">
        <v>0.666402</v>
      </c>
      <c r="S23" s="9" t="n">
        <v>12.241689</v>
      </c>
      <c r="T23" s="9" t="n">
        <v>42.320448</v>
      </c>
      <c r="U23" s="9" t="n">
        <v>8.397864999999999</v>
      </c>
    </row>
    <row r="24">
      <c r="A24" s="14" t="n">
        <v>14</v>
      </c>
      <c r="B24" s="14" t="n">
        <v>1800000000</v>
      </c>
      <c r="C24" s="14" t="n">
        <v>39.514903</v>
      </c>
      <c r="D24" s="14" t="n">
        <v>-0.000177</v>
      </c>
      <c r="E24" s="14" t="n">
        <v>0.648678</v>
      </c>
      <c r="F24" t="n">
        <v>12.514903</v>
      </c>
      <c r="G24" t="n">
        <v>46.478917</v>
      </c>
      <c r="H24" t="n">
        <v>8.943144999999999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39.514903</v>
      </c>
      <c r="Q24" s="9" t="n">
        <v>-0.000177</v>
      </c>
      <c r="R24" s="9" t="n">
        <v>0.648678</v>
      </c>
      <c r="S24" s="9" t="n">
        <v>12.514903</v>
      </c>
      <c r="T24" s="9" t="n">
        <v>46.478917</v>
      </c>
      <c r="U24" s="9" t="n">
        <v>8.943144999999999</v>
      </c>
    </row>
    <row r="25">
      <c r="A25" s="14" t="n">
        <v>15</v>
      </c>
      <c r="B25" s="14" t="n">
        <v>1900000000</v>
      </c>
      <c r="C25" s="14" t="n">
        <v>39.565972</v>
      </c>
      <c r="D25" s="14" t="n">
        <v>-0.000596</v>
      </c>
      <c r="E25" s="14" t="n">
        <v>0.609496</v>
      </c>
      <c r="F25" t="n">
        <v>12.565972</v>
      </c>
      <c r="G25" t="n">
        <v>50.086721</v>
      </c>
      <c r="H25" t="n">
        <v>9.048928999999999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39.565972</v>
      </c>
      <c r="Q25" s="9" t="n">
        <v>-0.000596</v>
      </c>
      <c r="R25" s="9" t="n">
        <v>0.609496</v>
      </c>
      <c r="S25" s="9" t="n">
        <v>12.565972</v>
      </c>
      <c r="T25" s="9" t="n">
        <v>50.086721</v>
      </c>
      <c r="U25" s="9" t="n">
        <v>9.048928999999999</v>
      </c>
    </row>
    <row r="26">
      <c r="A26" s="14" t="n">
        <v>16</v>
      </c>
      <c r="B26" s="14" t="n">
        <v>2000000000</v>
      </c>
      <c r="C26" s="14" t="n">
        <v>39.786982</v>
      </c>
      <c r="D26" s="14" t="n">
        <v>-0.000267</v>
      </c>
      <c r="E26" s="14" t="n">
        <v>0.611442</v>
      </c>
      <c r="F26" t="n">
        <v>12.786982</v>
      </c>
      <c r="G26" t="n">
        <v>52.686629</v>
      </c>
      <c r="H26" t="n">
        <v>9.521342000000001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39.786982</v>
      </c>
      <c r="Q26" s="9" t="n">
        <v>-0.000267</v>
      </c>
      <c r="R26" s="9" t="n">
        <v>0.611442</v>
      </c>
      <c r="S26" s="9" t="n">
        <v>12.786982</v>
      </c>
      <c r="T26" s="9" t="n">
        <v>52.686629</v>
      </c>
      <c r="U26" s="9" t="n">
        <v>9.521342000000001</v>
      </c>
    </row>
    <row r="27">
      <c r="A27" s="14" t="n">
        <v>17</v>
      </c>
      <c r="B27" s="14" t="n">
        <v>2100000000</v>
      </c>
      <c r="C27" s="14" t="n">
        <v>40.005346</v>
      </c>
      <c r="D27" s="14" t="n">
        <v>-0.000203</v>
      </c>
      <c r="E27" s="14" t="n">
        <v>0.61895</v>
      </c>
      <c r="F27" t="n">
        <v>13.005346</v>
      </c>
      <c r="G27" t="n">
        <v>54.880576</v>
      </c>
      <c r="H27" t="n">
        <v>10.012318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40.005346</v>
      </c>
      <c r="Q27" s="9" t="n">
        <v>-0.000203</v>
      </c>
      <c r="R27" s="9" t="n">
        <v>0.61895</v>
      </c>
      <c r="S27" s="9" t="n">
        <v>13.005346</v>
      </c>
      <c r="T27" s="9" t="n">
        <v>54.880576</v>
      </c>
      <c r="U27" s="9" t="n">
        <v>10.012318</v>
      </c>
    </row>
    <row r="28">
      <c r="A28" s="14" t="n">
        <v>18</v>
      </c>
      <c r="B28" s="14" t="n">
        <v>2200000000</v>
      </c>
      <c r="C28" s="14" t="n">
        <v>39.821392</v>
      </c>
      <c r="D28" s="14" t="n">
        <v>-0.000316</v>
      </c>
      <c r="E28" s="14" t="n">
        <v>0.6087089999999999</v>
      </c>
      <c r="F28" t="n">
        <v>12.821392</v>
      </c>
      <c r="G28" t="n">
        <v>53.367602</v>
      </c>
      <c r="H28" t="n">
        <v>9.597080999999999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39.821392</v>
      </c>
      <c r="Q28" s="9" t="n">
        <v>-0.000316</v>
      </c>
      <c r="R28" s="9" t="n">
        <v>0.6087089999999999</v>
      </c>
      <c r="S28" s="9" t="n">
        <v>12.821392</v>
      </c>
      <c r="T28" s="9" t="n">
        <v>53.367602</v>
      </c>
      <c r="U28" s="9" t="n">
        <v>9.597080999999999</v>
      </c>
    </row>
    <row r="29">
      <c r="A29" s="14" t="n">
        <v>19</v>
      </c>
      <c r="B29" s="14" t="n">
        <v>2300000000</v>
      </c>
      <c r="C29" s="14" t="n">
        <v>40.023848</v>
      </c>
      <c r="D29" s="14" t="n">
        <v>-0.000309</v>
      </c>
      <c r="E29" s="14" t="n">
        <v>0.651608</v>
      </c>
      <c r="F29" t="n">
        <v>13.023848</v>
      </c>
      <c r="G29" t="n">
        <v>52.364264</v>
      </c>
      <c r="H29" t="n">
        <v>10.055064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40.023848</v>
      </c>
      <c r="Q29" s="9" t="n">
        <v>-0.000309</v>
      </c>
      <c r="R29" s="9" t="n">
        <v>0.651608</v>
      </c>
      <c r="S29" s="9" t="n">
        <v>13.023848</v>
      </c>
      <c r="T29" s="9" t="n">
        <v>52.364264</v>
      </c>
      <c r="U29" s="9" t="n">
        <v>10.055064</v>
      </c>
    </row>
    <row r="30">
      <c r="A30" s="14" t="n">
        <v>20</v>
      </c>
      <c r="B30" s="14" t="n">
        <v>2400000000</v>
      </c>
      <c r="C30" s="14" t="n">
        <v>39.888355</v>
      </c>
      <c r="D30" s="14" t="n">
        <v>-0.000218</v>
      </c>
      <c r="E30" s="14" t="n">
        <v>0.658211</v>
      </c>
      <c r="F30" t="n">
        <v>12.888355</v>
      </c>
      <c r="G30" t="n">
        <v>50.163096</v>
      </c>
      <c r="H30" t="n">
        <v>9.746203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39.888355</v>
      </c>
      <c r="Q30" s="9" t="n">
        <v>-0.000218</v>
      </c>
      <c r="R30" s="9" t="n">
        <v>0.658211</v>
      </c>
      <c r="S30" s="9" t="n">
        <v>12.888355</v>
      </c>
      <c r="T30" s="9" t="n">
        <v>50.163096</v>
      </c>
      <c r="U30" s="9" t="n">
        <v>9.746203</v>
      </c>
    </row>
    <row r="31">
      <c r="A31" s="14" t="n">
        <v>21</v>
      </c>
      <c r="B31" s="14" t="n">
        <v>2500000000</v>
      </c>
      <c r="C31" s="14" t="n">
        <v>39.711281</v>
      </c>
      <c r="D31" s="14" t="n">
        <v>-0.000325</v>
      </c>
      <c r="E31" s="14" t="n">
        <v>0.657738</v>
      </c>
      <c r="F31" t="n">
        <v>12.711281</v>
      </c>
      <c r="G31" t="n">
        <v>48.084855</v>
      </c>
      <c r="H31" t="n">
        <v>9.356814999999999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39.711281</v>
      </c>
      <c r="Q31" s="9" t="n">
        <v>-0.000325</v>
      </c>
      <c r="R31" s="9" t="n">
        <v>0.657738</v>
      </c>
      <c r="S31" s="9" t="n">
        <v>12.711281</v>
      </c>
      <c r="T31" s="9" t="n">
        <v>48.084855</v>
      </c>
      <c r="U31" s="9" t="n">
        <v>9.356814999999999</v>
      </c>
    </row>
    <row r="32">
      <c r="A32" s="14" t="n">
        <v>22</v>
      </c>
      <c r="B32" s="14" t="n">
        <v>2600000000</v>
      </c>
      <c r="C32" s="14" t="n">
        <v>39.67729</v>
      </c>
      <c r="D32" s="14" t="n">
        <v>2.4e-05</v>
      </c>
      <c r="E32" s="14" t="n">
        <v>0.65862</v>
      </c>
      <c r="F32" t="n">
        <v>12.67729</v>
      </c>
      <c r="G32" t="n">
        <v>47.624927</v>
      </c>
      <c r="H32" t="n">
        <v>9.283868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39.67729</v>
      </c>
      <c r="Q32" s="9" t="n">
        <v>2.4e-05</v>
      </c>
      <c r="R32" s="9" t="n">
        <v>0.65862</v>
      </c>
      <c r="S32" s="9" t="n">
        <v>12.67729</v>
      </c>
      <c r="T32" s="9" t="n">
        <v>47.624927</v>
      </c>
      <c r="U32" s="9" t="n">
        <v>9.283868</v>
      </c>
    </row>
    <row r="33">
      <c r="A33" s="14" t="n">
        <v>23</v>
      </c>
      <c r="B33" s="14" t="n">
        <v>2700000000</v>
      </c>
      <c r="C33" s="14" t="n">
        <v>39.680582</v>
      </c>
      <c r="D33" s="14" t="n">
        <v>-8.8e-05</v>
      </c>
      <c r="E33" s="14" t="n">
        <v>0.683783</v>
      </c>
      <c r="F33" t="n">
        <v>12.680582</v>
      </c>
      <c r="G33" t="n">
        <v>45.909095</v>
      </c>
      <c r="H33" t="n">
        <v>9.290908999999999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39.680582</v>
      </c>
      <c r="Q33" s="9" t="n">
        <v>-8.8e-05</v>
      </c>
      <c r="R33" s="9" t="n">
        <v>0.683783</v>
      </c>
      <c r="S33" s="9" t="n">
        <v>12.680582</v>
      </c>
      <c r="T33" s="9" t="n">
        <v>45.909095</v>
      </c>
      <c r="U33" s="9" t="n">
        <v>9.290908999999999</v>
      </c>
    </row>
    <row r="34">
      <c r="A34" s="14" t="n">
        <v>24</v>
      </c>
      <c r="B34" s="14" t="n">
        <v>2800000000</v>
      </c>
      <c r="C34" s="14" t="n">
        <v>39.271359</v>
      </c>
      <c r="D34" s="14" t="n">
        <v>-0.000124</v>
      </c>
      <c r="E34" s="14" t="n">
        <v>0.70134</v>
      </c>
      <c r="F34" t="n">
        <v>12.271359</v>
      </c>
      <c r="G34" t="n">
        <v>40.50533</v>
      </c>
      <c r="H34" t="n">
        <v>8.455434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39.271359</v>
      </c>
      <c r="Q34" s="9" t="n">
        <v>-0.000124</v>
      </c>
      <c r="R34" s="9" t="n">
        <v>0.70134</v>
      </c>
      <c r="S34" s="9" t="n">
        <v>12.271359</v>
      </c>
      <c r="T34" s="9" t="n">
        <v>40.50533</v>
      </c>
      <c r="U34" s="9" t="n">
        <v>8.455434</v>
      </c>
    </row>
    <row r="35">
      <c r="A35" s="14" t="n">
        <v>25</v>
      </c>
      <c r="B35" s="14" t="n">
        <v>2900000000</v>
      </c>
      <c r="C35" s="14" t="n">
        <v>39.118224</v>
      </c>
      <c r="D35" s="14" t="n">
        <v>-0.000367</v>
      </c>
      <c r="E35" s="14" t="n">
        <v>0.708811</v>
      </c>
      <c r="F35" t="n">
        <v>12.118224</v>
      </c>
      <c r="G35" t="n">
        <v>38.602367</v>
      </c>
      <c r="H35" t="n">
        <v>8.162485999999999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39.118224</v>
      </c>
      <c r="Q35" s="9" t="n">
        <v>-0.000367</v>
      </c>
      <c r="R35" s="9" t="n">
        <v>0.708811</v>
      </c>
      <c r="S35" s="9" t="n">
        <v>12.118224</v>
      </c>
      <c r="T35" s="9" t="n">
        <v>38.602367</v>
      </c>
      <c r="U35" s="9" t="n">
        <v>8.162485999999999</v>
      </c>
    </row>
    <row r="36">
      <c r="A36" s="14" t="n">
        <v>26</v>
      </c>
      <c r="B36" s="14" t="n">
        <v>3000000000</v>
      </c>
      <c r="C36" s="14" t="n">
        <v>39.160229</v>
      </c>
      <c r="D36" s="14" t="n">
        <v>-0.00014</v>
      </c>
      <c r="E36" s="14" t="n">
        <v>0.711701</v>
      </c>
      <c r="F36" t="n">
        <v>12.160229</v>
      </c>
      <c r="G36" t="n">
        <v>38.843721</v>
      </c>
      <c r="H36" t="n">
        <v>8.241816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39.160229</v>
      </c>
      <c r="Q36" s="9" t="n">
        <v>-0.00014</v>
      </c>
      <c r="R36" s="9" t="n">
        <v>0.711701</v>
      </c>
      <c r="S36" s="9" t="n">
        <v>12.160229</v>
      </c>
      <c r="T36" s="9" t="n">
        <v>38.843721</v>
      </c>
      <c r="U36" s="9" t="n">
        <v>8.241816</v>
      </c>
    </row>
    <row r="37">
      <c r="A37" s="14" t="n">
        <v>27</v>
      </c>
      <c r="B37" s="14" t="n">
        <v>3100000000</v>
      </c>
      <c r="C37" s="14" t="n">
        <v>38.924949</v>
      </c>
      <c r="D37" s="14" t="n">
        <v>7.6e-05</v>
      </c>
      <c r="E37" s="14" t="n">
        <v>0.733935</v>
      </c>
      <c r="F37" t="n">
        <v>11.924949</v>
      </c>
      <c r="G37" t="n">
        <v>35.552009</v>
      </c>
      <c r="H37" t="n">
        <v>7.807193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38.924949</v>
      </c>
      <c r="Q37" s="9" t="n">
        <v>7.6e-05</v>
      </c>
      <c r="R37" s="9" t="n">
        <v>0.733935</v>
      </c>
      <c r="S37" s="9" t="n">
        <v>11.924949</v>
      </c>
      <c r="T37" s="9" t="n">
        <v>35.552009</v>
      </c>
      <c r="U37" s="9" t="n">
        <v>7.807193</v>
      </c>
    </row>
    <row r="38">
      <c r="A38" s="14" t="n">
        <v>28</v>
      </c>
      <c r="B38" s="14" t="n">
        <v>3200000000</v>
      </c>
      <c r="C38" s="14" t="n">
        <v>38.926094</v>
      </c>
      <c r="D38" s="14" t="n">
        <v>-1.3e-05</v>
      </c>
      <c r="E38" s="14" t="n">
        <v>0.753847</v>
      </c>
      <c r="F38" t="n">
        <v>11.926094</v>
      </c>
      <c r="G38" t="n">
        <v>34.622693</v>
      </c>
      <c r="H38" t="n">
        <v>7.809251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38.926094</v>
      </c>
      <c r="Q38" s="9" t="n">
        <v>-1.3e-05</v>
      </c>
      <c r="R38" s="9" t="n">
        <v>0.753847</v>
      </c>
      <c r="S38" s="9" t="n">
        <v>11.926094</v>
      </c>
      <c r="T38" s="9" t="n">
        <v>34.622693</v>
      </c>
      <c r="U38" s="9" t="n">
        <v>7.809251</v>
      </c>
    </row>
    <row r="39">
      <c r="A39" s="14" t="n">
        <v>29</v>
      </c>
      <c r="B39" s="14" t="n">
        <v>3300000000</v>
      </c>
      <c r="C39" s="14" t="n">
        <v>38.81021</v>
      </c>
      <c r="D39" s="14" t="n">
        <v>-0.000355</v>
      </c>
      <c r="E39" s="14" t="n">
        <v>0.746496</v>
      </c>
      <c r="F39" t="n">
        <v>11.81021</v>
      </c>
      <c r="G39" t="n">
        <v>33.979897</v>
      </c>
      <c r="H39" t="n">
        <v>7.603631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38.81021</v>
      </c>
      <c r="Q39" s="9" t="n">
        <v>-0.000355</v>
      </c>
      <c r="R39" s="9" t="n">
        <v>0.746496</v>
      </c>
      <c r="S39" s="9" t="n">
        <v>11.81021</v>
      </c>
      <c r="T39" s="9" t="n">
        <v>33.979897</v>
      </c>
      <c r="U39" s="9" t="n">
        <v>7.603631</v>
      </c>
    </row>
    <row r="40">
      <c r="A40" s="14" t="n">
        <v>30</v>
      </c>
      <c r="B40" s="14" t="n">
        <v>3400000000</v>
      </c>
      <c r="C40" s="14" t="n">
        <v>38.516855</v>
      </c>
      <c r="D40" s="14" t="n">
        <v>-2.3e-05</v>
      </c>
      <c r="E40" s="14" t="n">
        <v>0.758794</v>
      </c>
      <c r="F40" t="n">
        <v>11.516855</v>
      </c>
      <c r="G40" t="n">
        <v>31.091606</v>
      </c>
      <c r="H40" t="n">
        <v>7.106986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38.516855</v>
      </c>
      <c r="Q40" s="9" t="n">
        <v>-2.3e-05</v>
      </c>
      <c r="R40" s="9" t="n">
        <v>0.758794</v>
      </c>
      <c r="S40" s="9" t="n">
        <v>11.516855</v>
      </c>
      <c r="T40" s="9" t="n">
        <v>31.091606</v>
      </c>
      <c r="U40" s="9" t="n">
        <v>7.106986</v>
      </c>
    </row>
    <row r="41">
      <c r="A41" s="14" t="n">
        <v>31</v>
      </c>
      <c r="B41" s="14" t="n">
        <v>3500000000</v>
      </c>
      <c r="C41" s="14" t="n">
        <v>38.379342</v>
      </c>
      <c r="D41" s="14" t="n">
        <v>-0.000496</v>
      </c>
      <c r="E41" s="14" t="n">
        <v>0.777092</v>
      </c>
      <c r="F41" t="n">
        <v>11.379342</v>
      </c>
      <c r="G41" t="n">
        <v>29.341486</v>
      </c>
      <c r="H41" t="n">
        <v>6.88548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38.379342</v>
      </c>
      <c r="Q41" s="9" t="n">
        <v>-0.000496</v>
      </c>
      <c r="R41" s="9" t="n">
        <v>0.777092</v>
      </c>
      <c r="S41" s="9" t="n">
        <v>11.379342</v>
      </c>
      <c r="T41" s="9" t="n">
        <v>29.341486</v>
      </c>
      <c r="U41" s="9" t="n">
        <v>6.88548</v>
      </c>
    </row>
    <row r="42">
      <c r="A42" s="14" t="n">
        <v>32</v>
      </c>
      <c r="B42" s="14" t="n">
        <v>3600000000</v>
      </c>
      <c r="C42" s="14" t="n">
        <v>38.422682</v>
      </c>
      <c r="D42" s="14" t="n">
        <v>9.8e-05</v>
      </c>
      <c r="E42" s="14" t="n">
        <v>0.777909</v>
      </c>
      <c r="F42" t="n">
        <v>11.422682</v>
      </c>
      <c r="G42" t="n">
        <v>29.627735</v>
      </c>
      <c r="H42" t="n">
        <v>6.954537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38.422682</v>
      </c>
      <c r="Q42" s="9" t="n">
        <v>9.8e-05</v>
      </c>
      <c r="R42" s="9" t="n">
        <v>0.777909</v>
      </c>
      <c r="S42" s="9" t="n">
        <v>11.422682</v>
      </c>
      <c r="T42" s="9" t="n">
        <v>29.627735</v>
      </c>
      <c r="U42" s="9" t="n">
        <v>6.954537</v>
      </c>
    </row>
    <row r="43">
      <c r="A43" s="14" t="n">
        <v>33</v>
      </c>
      <c r="B43" s="14" t="n">
        <v>3700000000</v>
      </c>
      <c r="C43" s="14" t="n">
        <v>38.630037</v>
      </c>
      <c r="D43" s="14" t="n">
        <v>0.000406</v>
      </c>
      <c r="E43" s="14" t="n">
        <v>0.771674</v>
      </c>
      <c r="F43" t="n">
        <v>11.630037</v>
      </c>
      <c r="G43" t="n">
        <v>31.441161</v>
      </c>
      <c r="H43" t="n">
        <v>7.294637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38.630037</v>
      </c>
      <c r="Q43" s="9" t="n">
        <v>0.000406</v>
      </c>
      <c r="R43" s="9" t="n">
        <v>0.771674</v>
      </c>
      <c r="S43" s="9" t="n">
        <v>11.630037</v>
      </c>
      <c r="T43" s="9" t="n">
        <v>31.441161</v>
      </c>
      <c r="U43" s="9" t="n">
        <v>7.294637</v>
      </c>
    </row>
    <row r="44">
      <c r="A44" s="14" t="n">
        <v>34</v>
      </c>
      <c r="B44" s="14" t="n">
        <v>3800000000</v>
      </c>
      <c r="C44" s="14" t="n">
        <v>38.663693</v>
      </c>
      <c r="D44" s="14" t="n">
        <v>-2.3e-05</v>
      </c>
      <c r="E44" s="14" t="n">
        <v>0.779159</v>
      </c>
      <c r="F44" t="n">
        <v>11.663693</v>
      </c>
      <c r="G44" t="n">
        <v>31.39923</v>
      </c>
      <c r="H44" t="n">
        <v>7.351388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38.663693</v>
      </c>
      <c r="Q44" s="9" t="n">
        <v>-2.3e-05</v>
      </c>
      <c r="R44" s="9" t="n">
        <v>0.779159</v>
      </c>
      <c r="S44" s="9" t="n">
        <v>11.663693</v>
      </c>
      <c r="T44" s="9" t="n">
        <v>31.39923</v>
      </c>
      <c r="U44" s="9" t="n">
        <v>7.351388</v>
      </c>
    </row>
    <row r="45">
      <c r="A45" s="14" t="n">
        <v>35</v>
      </c>
      <c r="B45" s="14" t="n">
        <v>3900000000</v>
      </c>
      <c r="C45" s="14" t="n">
        <v>38.759873</v>
      </c>
      <c r="D45" s="14" t="n">
        <v>-0.000353</v>
      </c>
      <c r="E45" s="14" t="n">
        <v>0.761314</v>
      </c>
      <c r="F45" t="n">
        <v>11.759873</v>
      </c>
      <c r="G45" t="n">
        <v>32.907506</v>
      </c>
      <c r="H45" t="n">
        <v>7.516009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38.759873</v>
      </c>
      <c r="Q45" s="9" t="n">
        <v>-0.000353</v>
      </c>
      <c r="R45" s="9" t="n">
        <v>0.761314</v>
      </c>
      <c r="S45" s="9" t="n">
        <v>11.759873</v>
      </c>
      <c r="T45" s="9" t="n">
        <v>32.907506</v>
      </c>
      <c r="U45" s="9" t="n">
        <v>7.516009</v>
      </c>
    </row>
    <row r="46">
      <c r="A46" s="14" t="n">
        <v>36</v>
      </c>
      <c r="B46" s="14" t="n">
        <v>4000000000</v>
      </c>
      <c r="C46" s="14" t="n">
        <v>38.588967</v>
      </c>
      <c r="D46" s="14" t="n">
        <v>0.000342</v>
      </c>
      <c r="E46" s="14" t="n">
        <v>0.763505</v>
      </c>
      <c r="F46" t="n">
        <v>11.588967</v>
      </c>
      <c r="G46" t="n">
        <v>31.456411</v>
      </c>
      <c r="H46" t="n">
        <v>7.225979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38.588967</v>
      </c>
      <c r="Q46" s="9" t="n">
        <v>0.000342</v>
      </c>
      <c r="R46" s="9" t="n">
        <v>0.763505</v>
      </c>
      <c r="S46" s="9" t="n">
        <v>11.588967</v>
      </c>
      <c r="T46" s="9" t="n">
        <v>31.456411</v>
      </c>
      <c r="U46" s="9" t="n">
        <v>7.225979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39.405177</v>
      </c>
      <c r="D11" s="14" t="n">
        <v>0.000159</v>
      </c>
      <c r="E11" s="14" t="n">
        <v>0.519489</v>
      </c>
      <c r="F11" t="n">
        <v>12.405177</v>
      </c>
      <c r="G11" t="n">
        <v>56.503554</v>
      </c>
      <c r="H11" t="n">
        <v>8.720022999999999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39.405177</v>
      </c>
      <c r="Q11" s="9" t="n">
        <v>0.000159</v>
      </c>
      <c r="R11" s="9" t="n">
        <v>0.519489</v>
      </c>
      <c r="S11" s="9" t="n">
        <v>12.405177</v>
      </c>
      <c r="T11" s="9" t="n">
        <v>56.503554</v>
      </c>
      <c r="U11" s="9" t="n">
        <v>8.720022999999999</v>
      </c>
    </row>
    <row r="12">
      <c r="A12" s="14" t="n">
        <v>2</v>
      </c>
      <c r="B12" s="14" t="n">
        <v>600000000</v>
      </c>
      <c r="C12" s="14" t="n">
        <v>39.388719</v>
      </c>
      <c r="D12" s="14" t="n">
        <v>8.1e-05</v>
      </c>
      <c r="E12" s="14" t="n">
        <v>0.493501</v>
      </c>
      <c r="F12" t="n">
        <v>12.388719</v>
      </c>
      <c r="G12" t="n">
        <v>59.240388</v>
      </c>
      <c r="H12" t="n">
        <v>8.687041000000001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39.388719</v>
      </c>
      <c r="Q12" s="9" t="n">
        <v>8.1e-05</v>
      </c>
      <c r="R12" s="9" t="n">
        <v>0.493501</v>
      </c>
      <c r="S12" s="9" t="n">
        <v>12.388719</v>
      </c>
      <c r="T12" s="9" t="n">
        <v>59.240388</v>
      </c>
      <c r="U12" s="9" t="n">
        <v>8.687041000000001</v>
      </c>
    </row>
    <row r="13">
      <c r="A13" s="14" t="n">
        <v>3</v>
      </c>
      <c r="B13" s="14" t="n">
        <v>700000000</v>
      </c>
      <c r="C13" s="14" t="n">
        <v>39.290105</v>
      </c>
      <c r="D13" s="14" t="n">
        <v>-0.000446</v>
      </c>
      <c r="E13" s="14" t="n">
        <v>0.497181</v>
      </c>
      <c r="F13" t="n">
        <v>12.290105</v>
      </c>
      <c r="G13" t="n">
        <v>57.400913</v>
      </c>
      <c r="H13" t="n">
        <v>8.492011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39.290105</v>
      </c>
      <c r="Q13" s="9" t="n">
        <v>-0.000446</v>
      </c>
      <c r="R13" s="9" t="n">
        <v>0.497181</v>
      </c>
      <c r="S13" s="9" t="n">
        <v>12.290105</v>
      </c>
      <c r="T13" s="9" t="n">
        <v>57.400913</v>
      </c>
      <c r="U13" s="9" t="n">
        <v>8.492011</v>
      </c>
    </row>
    <row r="14">
      <c r="A14" s="14" t="n">
        <v>4</v>
      </c>
      <c r="B14" s="14" t="n">
        <v>800000000</v>
      </c>
      <c r="C14" s="14" t="n">
        <v>39.617169</v>
      </c>
      <c r="D14" s="14" t="n">
        <v>-0.000398</v>
      </c>
      <c r="E14" s="14" t="n">
        <v>0.536311</v>
      </c>
      <c r="F14" t="n">
        <v>12.617169</v>
      </c>
      <c r="G14" t="n">
        <v>57.636144</v>
      </c>
      <c r="H14" t="n">
        <v>9.156235000000001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39.617169</v>
      </c>
      <c r="Q14" s="9" t="n">
        <v>-0.000398</v>
      </c>
      <c r="R14" s="9" t="n">
        <v>0.536311</v>
      </c>
      <c r="S14" s="9" t="n">
        <v>12.617169</v>
      </c>
      <c r="T14" s="9" t="n">
        <v>57.636144</v>
      </c>
      <c r="U14" s="9" t="n">
        <v>9.156235000000001</v>
      </c>
    </row>
    <row r="15">
      <c r="A15" s="14" t="n">
        <v>5</v>
      </c>
      <c r="B15" s="14" t="n">
        <v>900000000</v>
      </c>
      <c r="C15" s="14" t="n">
        <v>39.812192</v>
      </c>
      <c r="D15" s="14" t="n">
        <v>-0.000408</v>
      </c>
      <c r="E15" s="14" t="n">
        <v>0.548018</v>
      </c>
      <c r="F15" t="n">
        <v>12.812192</v>
      </c>
      <c r="G15" t="n">
        <v>59.14551</v>
      </c>
      <c r="H15" t="n">
        <v>9.576772999999999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39.812192</v>
      </c>
      <c r="Q15" s="9" t="n">
        <v>-0.000408</v>
      </c>
      <c r="R15" s="9" t="n">
        <v>0.548018</v>
      </c>
      <c r="S15" s="9" t="n">
        <v>12.812192</v>
      </c>
      <c r="T15" s="9" t="n">
        <v>59.14551</v>
      </c>
      <c r="U15" s="9" t="n">
        <v>9.576772999999999</v>
      </c>
    </row>
    <row r="16">
      <c r="A16" s="14" t="n">
        <v>6</v>
      </c>
      <c r="B16" s="14" t="n">
        <v>1000000000</v>
      </c>
      <c r="C16" s="14" t="n">
        <v>39.810115</v>
      </c>
      <c r="D16" s="14" t="n">
        <v>-0.000432</v>
      </c>
      <c r="E16" s="14" t="n">
        <v>0.570779</v>
      </c>
      <c r="F16" t="n">
        <v>12.810115</v>
      </c>
      <c r="G16" t="n">
        <v>56.758355</v>
      </c>
      <c r="H16" t="n">
        <v>9.572195000000001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39.810115</v>
      </c>
      <c r="Q16" s="9" t="n">
        <v>-0.000432</v>
      </c>
      <c r="R16" s="9" t="n">
        <v>0.570779</v>
      </c>
      <c r="S16" s="9" t="n">
        <v>12.810115</v>
      </c>
      <c r="T16" s="9" t="n">
        <v>56.758355</v>
      </c>
      <c r="U16" s="9" t="n">
        <v>9.572195000000001</v>
      </c>
    </row>
    <row r="17">
      <c r="A17" s="14" t="n">
        <v>7</v>
      </c>
      <c r="B17" s="14" t="n">
        <v>1100000000</v>
      </c>
      <c r="C17" s="14" t="n">
        <v>39.734777</v>
      </c>
      <c r="D17" s="14" t="n">
        <v>0.000405</v>
      </c>
      <c r="E17" s="14" t="n">
        <v>0.568346</v>
      </c>
      <c r="F17" t="n">
        <v>12.734777</v>
      </c>
      <c r="G17" t="n">
        <v>55.966878</v>
      </c>
      <c r="H17" t="n">
        <v>9.407576000000001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39.734777</v>
      </c>
      <c r="Q17" s="9" t="n">
        <v>0.000405</v>
      </c>
      <c r="R17" s="9" t="n">
        <v>0.568346</v>
      </c>
      <c r="S17" s="9" t="n">
        <v>12.734777</v>
      </c>
      <c r="T17" s="9" t="n">
        <v>55.966878</v>
      </c>
      <c r="U17" s="9" t="n">
        <v>9.407576000000001</v>
      </c>
    </row>
    <row r="18">
      <c r="A18" s="14" t="n">
        <v>8</v>
      </c>
      <c r="B18" s="14" t="n">
        <v>1200000000</v>
      </c>
      <c r="C18" s="14" t="n">
        <v>39.376859</v>
      </c>
      <c r="D18" s="14" t="n">
        <v>0.000183</v>
      </c>
      <c r="E18" s="14" t="n">
        <v>0.586651</v>
      </c>
      <c r="F18" t="n">
        <v>12.376859</v>
      </c>
      <c r="G18" t="n">
        <v>49.68979</v>
      </c>
      <c r="H18" t="n">
        <v>8.663349999999999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39.376859</v>
      </c>
      <c r="Q18" s="9" t="n">
        <v>0.000183</v>
      </c>
      <c r="R18" s="9" t="n">
        <v>0.586651</v>
      </c>
      <c r="S18" s="9" t="n">
        <v>12.376859</v>
      </c>
      <c r="T18" s="9" t="n">
        <v>49.68979</v>
      </c>
      <c r="U18" s="9" t="n">
        <v>8.663349999999999</v>
      </c>
    </row>
    <row r="19">
      <c r="A19" s="14" t="n">
        <v>9</v>
      </c>
      <c r="B19" s="14" t="n">
        <v>1300000000</v>
      </c>
      <c r="C19" s="14" t="n">
        <v>39.430832</v>
      </c>
      <c r="D19" s="14" t="n">
        <v>-0.000279</v>
      </c>
      <c r="E19" s="14" t="n">
        <v>0.626152</v>
      </c>
      <c r="F19" t="n">
        <v>12.430832</v>
      </c>
      <c r="G19" t="n">
        <v>47.173048</v>
      </c>
      <c r="H19" t="n">
        <v>8.771689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39.430832</v>
      </c>
      <c r="Q19" s="9" t="n">
        <v>-0.000279</v>
      </c>
      <c r="R19" s="9" t="n">
        <v>0.626152</v>
      </c>
      <c r="S19" s="9" t="n">
        <v>12.430832</v>
      </c>
      <c r="T19" s="9" t="n">
        <v>47.173048</v>
      </c>
      <c r="U19" s="9" t="n">
        <v>8.771689</v>
      </c>
    </row>
    <row r="20">
      <c r="A20" s="14" t="n">
        <v>10</v>
      </c>
      <c r="B20" s="14" t="n">
        <v>1400000000</v>
      </c>
      <c r="C20" s="14" t="n">
        <v>39.467568</v>
      </c>
      <c r="D20" s="14" t="n">
        <v>-0.000146</v>
      </c>
      <c r="E20" s="14" t="n">
        <v>0.640861</v>
      </c>
      <c r="F20" t="n">
        <v>12.467568</v>
      </c>
      <c r="G20" t="n">
        <v>46.5056</v>
      </c>
      <c r="H20" t="n">
        <v>8.846202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39.467568</v>
      </c>
      <c r="Q20" s="9" t="n">
        <v>-0.000146</v>
      </c>
      <c r="R20" s="9" t="n">
        <v>0.640861</v>
      </c>
      <c r="S20" s="9" t="n">
        <v>12.467568</v>
      </c>
      <c r="T20" s="9" t="n">
        <v>46.5056</v>
      </c>
      <c r="U20" s="9" t="n">
        <v>8.846202</v>
      </c>
    </row>
    <row r="21">
      <c r="A21" s="14" t="n">
        <v>11</v>
      </c>
      <c r="B21" s="14" t="n">
        <v>1500000000</v>
      </c>
      <c r="C21" s="14" t="n">
        <v>39.471317</v>
      </c>
      <c r="D21" s="14" t="n">
        <v>-0.000235</v>
      </c>
      <c r="E21" s="14" t="n">
        <v>0.65585</v>
      </c>
      <c r="F21" t="n">
        <v>12.471317</v>
      </c>
      <c r="G21" t="n">
        <v>45.484336</v>
      </c>
      <c r="H21" t="n">
        <v>8.85384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39.471317</v>
      </c>
      <c r="Q21" s="9" t="n">
        <v>-0.000235</v>
      </c>
      <c r="R21" s="9" t="n">
        <v>0.65585</v>
      </c>
      <c r="S21" s="9" t="n">
        <v>12.471317</v>
      </c>
      <c r="T21" s="9" t="n">
        <v>45.484336</v>
      </c>
      <c r="U21" s="9" t="n">
        <v>8.85384</v>
      </c>
    </row>
    <row r="22">
      <c r="A22" s="14" t="n">
        <v>12</v>
      </c>
      <c r="B22" s="14" t="n">
        <v>1600000000</v>
      </c>
      <c r="C22" s="14" t="n">
        <v>39.32506</v>
      </c>
      <c r="D22" s="14" t="n">
        <v>-0.000176</v>
      </c>
      <c r="E22" s="14" t="n">
        <v>0.669135</v>
      </c>
      <c r="F22" t="n">
        <v>12.32506</v>
      </c>
      <c r="G22" t="n">
        <v>43.016339</v>
      </c>
      <c r="H22" t="n">
        <v>8.560636000000001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39.32506</v>
      </c>
      <c r="Q22" s="9" t="n">
        <v>-0.000176</v>
      </c>
      <c r="R22" s="9" t="n">
        <v>0.669135</v>
      </c>
      <c r="S22" s="9" t="n">
        <v>12.32506</v>
      </c>
      <c r="T22" s="9" t="n">
        <v>43.016339</v>
      </c>
      <c r="U22" s="9" t="n">
        <v>8.560636000000001</v>
      </c>
    </row>
    <row r="23">
      <c r="A23" s="14" t="n">
        <v>13</v>
      </c>
      <c r="B23" s="14" t="n">
        <v>1700000000</v>
      </c>
      <c r="C23" s="14" t="n">
        <v>39.246492</v>
      </c>
      <c r="D23" s="14" t="n">
        <v>0.000227</v>
      </c>
      <c r="E23" s="14" t="n">
        <v>0.662736</v>
      </c>
      <c r="F23" t="n">
        <v>12.246492</v>
      </c>
      <c r="G23" t="n">
        <v>42.604608</v>
      </c>
      <c r="H23" t="n">
        <v>8.407158000000001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39.246492</v>
      </c>
      <c r="Q23" s="9" t="n">
        <v>0.000227</v>
      </c>
      <c r="R23" s="9" t="n">
        <v>0.662736</v>
      </c>
      <c r="S23" s="9" t="n">
        <v>12.246492</v>
      </c>
      <c r="T23" s="9" t="n">
        <v>42.604608</v>
      </c>
      <c r="U23" s="9" t="n">
        <v>8.407158000000001</v>
      </c>
    </row>
    <row r="24">
      <c r="A24" s="14" t="n">
        <v>14</v>
      </c>
      <c r="B24" s="14" t="n">
        <v>1800000000</v>
      </c>
      <c r="C24" s="14" t="n">
        <v>39.483974</v>
      </c>
      <c r="D24" s="14" t="n">
        <v>-0.000307</v>
      </c>
      <c r="E24" s="14" t="n">
        <v>0.650119</v>
      </c>
      <c r="F24" t="n">
        <v>12.483974</v>
      </c>
      <c r="G24" t="n">
        <v>46.027248</v>
      </c>
      <c r="H24" t="n">
        <v>8.879682000000001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39.483974</v>
      </c>
      <c r="Q24" s="9" t="n">
        <v>-0.000307</v>
      </c>
      <c r="R24" s="9" t="n">
        <v>0.650119</v>
      </c>
      <c r="S24" s="9" t="n">
        <v>12.483974</v>
      </c>
      <c r="T24" s="9" t="n">
        <v>46.027248</v>
      </c>
      <c r="U24" s="9" t="n">
        <v>8.879682000000001</v>
      </c>
    </row>
    <row r="25">
      <c r="A25" s="14" t="n">
        <v>15</v>
      </c>
      <c r="B25" s="14" t="n">
        <v>1900000000</v>
      </c>
      <c r="C25" s="14" t="n">
        <v>39.527268</v>
      </c>
      <c r="D25" s="14" t="n">
        <v>-0.000489</v>
      </c>
      <c r="E25" s="14" t="n">
        <v>0.612504</v>
      </c>
      <c r="F25" t="n">
        <v>12.527268</v>
      </c>
      <c r="G25" t="n">
        <v>49.372635</v>
      </c>
      <c r="H25" t="n">
        <v>8.968643999999999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39.527268</v>
      </c>
      <c r="Q25" s="9" t="n">
        <v>-0.000489</v>
      </c>
      <c r="R25" s="9" t="n">
        <v>0.612504</v>
      </c>
      <c r="S25" s="9" t="n">
        <v>12.527268</v>
      </c>
      <c r="T25" s="9" t="n">
        <v>49.372635</v>
      </c>
      <c r="U25" s="9" t="n">
        <v>8.968643999999999</v>
      </c>
    </row>
    <row r="26">
      <c r="A26" s="14" t="n">
        <v>16</v>
      </c>
      <c r="B26" s="14" t="n">
        <v>2000000000</v>
      </c>
      <c r="C26" s="14" t="n">
        <v>39.768632</v>
      </c>
      <c r="D26" s="14" t="n">
        <v>-6e-05</v>
      </c>
      <c r="E26" s="14" t="n">
        <v>0.612467</v>
      </c>
      <c r="F26" t="n">
        <v>12.768632</v>
      </c>
      <c r="G26" t="n">
        <v>52.364441</v>
      </c>
      <c r="H26" t="n">
        <v>9.481197999999999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39.768632</v>
      </c>
      <c r="Q26" s="9" t="n">
        <v>-6e-05</v>
      </c>
      <c r="R26" s="9" t="n">
        <v>0.612467</v>
      </c>
      <c r="S26" s="9" t="n">
        <v>12.768632</v>
      </c>
      <c r="T26" s="9" t="n">
        <v>52.364441</v>
      </c>
      <c r="U26" s="9" t="n">
        <v>9.481197999999999</v>
      </c>
    </row>
    <row r="27">
      <c r="A27" s="14" t="n">
        <v>17</v>
      </c>
      <c r="B27" s="14" t="n">
        <v>2100000000</v>
      </c>
      <c r="C27" s="14" t="n">
        <v>39.973494</v>
      </c>
      <c r="D27" s="14" t="n">
        <v>-9.000000000000001e-05</v>
      </c>
      <c r="E27" s="14" t="n">
        <v>0.614829</v>
      </c>
      <c r="F27" t="n">
        <v>12.973494</v>
      </c>
      <c r="G27" t="n">
        <v>54.823398</v>
      </c>
      <c r="H27" t="n">
        <v>9.939154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39.973494</v>
      </c>
      <c r="Q27" s="9" t="n">
        <v>-9.000000000000001e-05</v>
      </c>
      <c r="R27" s="9" t="n">
        <v>0.614829</v>
      </c>
      <c r="S27" s="9" t="n">
        <v>12.973494</v>
      </c>
      <c r="T27" s="9" t="n">
        <v>54.823398</v>
      </c>
      <c r="U27" s="9" t="n">
        <v>9.939154</v>
      </c>
    </row>
    <row r="28">
      <c r="A28" s="14" t="n">
        <v>18</v>
      </c>
      <c r="B28" s="14" t="n">
        <v>2200000000</v>
      </c>
      <c r="C28" s="14" t="n">
        <v>39.753927</v>
      </c>
      <c r="D28" s="14" t="n">
        <v>0.000377</v>
      </c>
      <c r="E28" s="14" t="n">
        <v>0.598611</v>
      </c>
      <c r="F28" t="n">
        <v>12.753927</v>
      </c>
      <c r="G28" t="n">
        <v>53.385254</v>
      </c>
      <c r="H28" t="n">
        <v>9.449149999999999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39.753927</v>
      </c>
      <c r="Q28" s="9" t="n">
        <v>0.000377</v>
      </c>
      <c r="R28" s="9" t="n">
        <v>0.598611</v>
      </c>
      <c r="S28" s="9" t="n">
        <v>12.753927</v>
      </c>
      <c r="T28" s="9" t="n">
        <v>53.385254</v>
      </c>
      <c r="U28" s="9" t="n">
        <v>9.449149999999999</v>
      </c>
    </row>
    <row r="29">
      <c r="A29" s="14" t="n">
        <v>19</v>
      </c>
      <c r="B29" s="14" t="n">
        <v>2300000000</v>
      </c>
      <c r="C29" s="14" t="n">
        <v>39.985321</v>
      </c>
      <c r="D29" s="14" t="n">
        <v>-9.2e-05</v>
      </c>
      <c r="E29" s="14" t="n">
        <v>0.649516</v>
      </c>
      <c r="F29" t="n">
        <v>12.985321</v>
      </c>
      <c r="G29" t="n">
        <v>52.044616</v>
      </c>
      <c r="H29" t="n">
        <v>9.966258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39.985321</v>
      </c>
      <c r="Q29" s="9" t="n">
        <v>-9.2e-05</v>
      </c>
      <c r="R29" s="9" t="n">
        <v>0.649516</v>
      </c>
      <c r="S29" s="9" t="n">
        <v>12.985321</v>
      </c>
      <c r="T29" s="9" t="n">
        <v>52.044616</v>
      </c>
      <c r="U29" s="9" t="n">
        <v>9.966258</v>
      </c>
    </row>
    <row r="30">
      <c r="A30" s="14" t="n">
        <v>20</v>
      </c>
      <c r="B30" s="14" t="n">
        <v>2400000000</v>
      </c>
      <c r="C30" s="14" t="n">
        <v>39.848417</v>
      </c>
      <c r="D30" s="14" t="n">
        <v>-0.00022</v>
      </c>
      <c r="E30" s="14" t="n">
        <v>0.650666</v>
      </c>
      <c r="F30" t="n">
        <v>12.848417</v>
      </c>
      <c r="G30" t="n">
        <v>50.255107</v>
      </c>
      <c r="H30" t="n">
        <v>9.656988999999999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39.848417</v>
      </c>
      <c r="Q30" s="9" t="n">
        <v>-0.00022</v>
      </c>
      <c r="R30" s="9" t="n">
        <v>0.650666</v>
      </c>
      <c r="S30" s="9" t="n">
        <v>12.848417</v>
      </c>
      <c r="T30" s="9" t="n">
        <v>50.255107</v>
      </c>
      <c r="U30" s="9" t="n">
        <v>9.656988999999999</v>
      </c>
    </row>
    <row r="31">
      <c r="A31" s="14" t="n">
        <v>21</v>
      </c>
      <c r="B31" s="14" t="n">
        <v>2500000000</v>
      </c>
      <c r="C31" s="14" t="n">
        <v>39.692395</v>
      </c>
      <c r="D31" s="14" t="n">
        <v>0.000235</v>
      </c>
      <c r="E31" s="14" t="n">
        <v>0.651286</v>
      </c>
      <c r="F31" t="n">
        <v>12.692395</v>
      </c>
      <c r="G31" t="n">
        <v>48.338569</v>
      </c>
      <c r="H31" t="n">
        <v>9.316214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39.692395</v>
      </c>
      <c r="Q31" s="9" t="n">
        <v>0.000235</v>
      </c>
      <c r="R31" s="9" t="n">
        <v>0.651286</v>
      </c>
      <c r="S31" s="9" t="n">
        <v>12.692395</v>
      </c>
      <c r="T31" s="9" t="n">
        <v>48.338569</v>
      </c>
      <c r="U31" s="9" t="n">
        <v>9.316214</v>
      </c>
    </row>
    <row r="32">
      <c r="A32" s="14" t="n">
        <v>22</v>
      </c>
      <c r="B32" s="14" t="n">
        <v>2600000000</v>
      </c>
      <c r="C32" s="14" t="n">
        <v>39.676834</v>
      </c>
      <c r="D32" s="14" t="n">
        <v>-2.5e-05</v>
      </c>
      <c r="E32" s="14" t="n">
        <v>0.652828</v>
      </c>
      <c r="F32" t="n">
        <v>12.676834</v>
      </c>
      <c r="G32" t="n">
        <v>48.04213</v>
      </c>
      <c r="H32" t="n">
        <v>9.282894000000001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39.676834</v>
      </c>
      <c r="Q32" s="9" t="n">
        <v>-2.5e-05</v>
      </c>
      <c r="R32" s="9" t="n">
        <v>0.652828</v>
      </c>
      <c r="S32" s="9" t="n">
        <v>12.676834</v>
      </c>
      <c r="T32" s="9" t="n">
        <v>48.04213</v>
      </c>
      <c r="U32" s="9" t="n">
        <v>9.282894000000001</v>
      </c>
    </row>
    <row r="33">
      <c r="A33" s="14" t="n">
        <v>23</v>
      </c>
      <c r="B33" s="14" t="n">
        <v>2700000000</v>
      </c>
      <c r="C33" s="14" t="n">
        <v>39.720134</v>
      </c>
      <c r="D33" s="14" t="n">
        <v>2.7e-05</v>
      </c>
      <c r="E33" s="14" t="n">
        <v>0.678716</v>
      </c>
      <c r="F33" t="n">
        <v>12.720134</v>
      </c>
      <c r="G33" t="n">
        <v>46.699089</v>
      </c>
      <c r="H33" t="n">
        <v>9.375909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39.720134</v>
      </c>
      <c r="Q33" s="9" t="n">
        <v>2.7e-05</v>
      </c>
      <c r="R33" s="9" t="n">
        <v>0.678716</v>
      </c>
      <c r="S33" s="9" t="n">
        <v>12.720134</v>
      </c>
      <c r="T33" s="9" t="n">
        <v>46.699089</v>
      </c>
      <c r="U33" s="9" t="n">
        <v>9.375909</v>
      </c>
    </row>
    <row r="34">
      <c r="A34" s="14" t="n">
        <v>24</v>
      </c>
      <c r="B34" s="14" t="n">
        <v>2800000000</v>
      </c>
      <c r="C34" s="14" t="n">
        <v>39.422832</v>
      </c>
      <c r="D34" s="14" t="n">
        <v>-9.500000000000001e-05</v>
      </c>
      <c r="E34" s="14" t="n">
        <v>0.69106</v>
      </c>
      <c r="F34" t="n">
        <v>12.422832</v>
      </c>
      <c r="G34" t="n">
        <v>42.658888</v>
      </c>
      <c r="H34" t="n">
        <v>8.755545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39.422832</v>
      </c>
      <c r="Q34" s="9" t="n">
        <v>-9.500000000000001e-05</v>
      </c>
      <c r="R34" s="9" t="n">
        <v>0.69106</v>
      </c>
      <c r="S34" s="9" t="n">
        <v>12.422832</v>
      </c>
      <c r="T34" s="9" t="n">
        <v>42.658888</v>
      </c>
      <c r="U34" s="9" t="n">
        <v>8.755545</v>
      </c>
    </row>
    <row r="35">
      <c r="A35" s="14" t="n">
        <v>25</v>
      </c>
      <c r="B35" s="14" t="n">
        <v>2900000000</v>
      </c>
      <c r="C35" s="14" t="n">
        <v>39.131547</v>
      </c>
      <c r="D35" s="14" t="n">
        <v>0.000518</v>
      </c>
      <c r="E35" s="14" t="n">
        <v>0.703014</v>
      </c>
      <c r="F35" t="n">
        <v>12.131547</v>
      </c>
      <c r="G35" t="n">
        <v>39.048076</v>
      </c>
      <c r="H35" t="n">
        <v>8.187564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39.131547</v>
      </c>
      <c r="Q35" s="9" t="n">
        <v>0.000518</v>
      </c>
      <c r="R35" s="9" t="n">
        <v>0.703014</v>
      </c>
      <c r="S35" s="9" t="n">
        <v>12.131547</v>
      </c>
      <c r="T35" s="9" t="n">
        <v>39.048076</v>
      </c>
      <c r="U35" s="9" t="n">
        <v>8.187564</v>
      </c>
    </row>
    <row r="36">
      <c r="A36" s="14" t="n">
        <v>26</v>
      </c>
      <c r="B36" s="14" t="n">
        <v>3000000000</v>
      </c>
      <c r="C36" s="14" t="n">
        <v>39.194617</v>
      </c>
      <c r="D36" s="14" t="n">
        <v>4.6e-05</v>
      </c>
      <c r="E36" s="14" t="n">
        <v>0.708157</v>
      </c>
      <c r="F36" t="n">
        <v>12.194617</v>
      </c>
      <c r="G36" t="n">
        <v>39.368519</v>
      </c>
      <c r="H36" t="n">
        <v>8.307334000000001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39.194617</v>
      </c>
      <c r="Q36" s="9" t="n">
        <v>4.6e-05</v>
      </c>
      <c r="R36" s="9" t="n">
        <v>0.708157</v>
      </c>
      <c r="S36" s="9" t="n">
        <v>12.194617</v>
      </c>
      <c r="T36" s="9" t="n">
        <v>39.368519</v>
      </c>
      <c r="U36" s="9" t="n">
        <v>8.307334000000001</v>
      </c>
    </row>
    <row r="37">
      <c r="A37" s="14" t="n">
        <v>27</v>
      </c>
      <c r="B37" s="14" t="n">
        <v>3100000000</v>
      </c>
      <c r="C37" s="14" t="n">
        <v>38.951989</v>
      </c>
      <c r="D37" s="14" t="n">
        <v>-0.000245</v>
      </c>
      <c r="E37" s="14" t="n">
        <v>0.7274</v>
      </c>
      <c r="F37" t="n">
        <v>11.951989</v>
      </c>
      <c r="G37" t="n">
        <v>36.11084</v>
      </c>
      <c r="H37" t="n">
        <v>7.855953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38.951989</v>
      </c>
      <c r="Q37" s="9" t="n">
        <v>-0.000245</v>
      </c>
      <c r="R37" s="9" t="n">
        <v>0.7274</v>
      </c>
      <c r="S37" s="9" t="n">
        <v>11.951989</v>
      </c>
      <c r="T37" s="9" t="n">
        <v>36.11084</v>
      </c>
      <c r="U37" s="9" t="n">
        <v>7.855953</v>
      </c>
    </row>
    <row r="38">
      <c r="A38" s="14" t="n">
        <v>28</v>
      </c>
      <c r="B38" s="14" t="n">
        <v>3200000000</v>
      </c>
      <c r="C38" s="14" t="n">
        <v>38.945632</v>
      </c>
      <c r="D38" s="14" t="n">
        <v>-0.000626</v>
      </c>
      <c r="E38" s="14" t="n">
        <v>0.74642</v>
      </c>
      <c r="F38" t="n">
        <v>11.945632</v>
      </c>
      <c r="G38" t="n">
        <v>35.135681</v>
      </c>
      <c r="H38" t="n">
        <v>7.844463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38.945632</v>
      </c>
      <c r="Q38" s="9" t="n">
        <v>-0.000626</v>
      </c>
      <c r="R38" s="9" t="n">
        <v>0.74642</v>
      </c>
      <c r="S38" s="9" t="n">
        <v>11.945632</v>
      </c>
      <c r="T38" s="9" t="n">
        <v>35.135681</v>
      </c>
      <c r="U38" s="9" t="n">
        <v>7.844463</v>
      </c>
    </row>
    <row r="39">
      <c r="A39" s="14" t="n">
        <v>29</v>
      </c>
      <c r="B39" s="14" t="n">
        <v>3300000000</v>
      </c>
      <c r="C39" s="14" t="n">
        <v>38.84095</v>
      </c>
      <c r="D39" s="14" t="n">
        <v>-0.000146</v>
      </c>
      <c r="E39" s="14" t="n">
        <v>0.738526</v>
      </c>
      <c r="F39" t="n">
        <v>11.84095</v>
      </c>
      <c r="G39" t="n">
        <v>34.607789</v>
      </c>
      <c r="H39" t="n">
        <v>7.657641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38.84095</v>
      </c>
      <c r="Q39" s="9" t="n">
        <v>-0.000146</v>
      </c>
      <c r="R39" s="9" t="n">
        <v>0.738526</v>
      </c>
      <c r="S39" s="9" t="n">
        <v>11.84095</v>
      </c>
      <c r="T39" s="9" t="n">
        <v>34.607789</v>
      </c>
      <c r="U39" s="9" t="n">
        <v>7.657641</v>
      </c>
    </row>
    <row r="40">
      <c r="A40" s="14" t="n">
        <v>30</v>
      </c>
      <c r="B40" s="14" t="n">
        <v>3400000000</v>
      </c>
      <c r="C40" s="14" t="n">
        <v>38.538733</v>
      </c>
      <c r="D40" s="14" t="n">
        <v>-0.000419</v>
      </c>
      <c r="E40" s="14" t="n">
        <v>0.750521</v>
      </c>
      <c r="F40" t="n">
        <v>11.538733</v>
      </c>
      <c r="G40" t="n">
        <v>31.60516</v>
      </c>
      <c r="H40" t="n">
        <v>7.142879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38.538733</v>
      </c>
      <c r="Q40" s="9" t="n">
        <v>-0.000419</v>
      </c>
      <c r="R40" s="9" t="n">
        <v>0.750521</v>
      </c>
      <c r="S40" s="9" t="n">
        <v>11.538733</v>
      </c>
      <c r="T40" s="9" t="n">
        <v>31.60516</v>
      </c>
      <c r="U40" s="9" t="n">
        <v>7.142879</v>
      </c>
    </row>
    <row r="41">
      <c r="A41" s="14" t="n">
        <v>31</v>
      </c>
      <c r="B41" s="14" t="n">
        <v>3500000000</v>
      </c>
      <c r="C41" s="14" t="n">
        <v>38.37506</v>
      </c>
      <c r="D41" s="14" t="n">
        <v>3.2e-05</v>
      </c>
      <c r="E41" s="14" t="n">
        <v>0.769407</v>
      </c>
      <c r="F41" t="n">
        <v>11.37506</v>
      </c>
      <c r="G41" t="n">
        <v>29.603063</v>
      </c>
      <c r="H41" t="n">
        <v>6.878695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38.37506</v>
      </c>
      <c r="Q41" s="9" t="n">
        <v>3.2e-05</v>
      </c>
      <c r="R41" s="9" t="n">
        <v>0.769407</v>
      </c>
      <c r="S41" s="9" t="n">
        <v>11.37506</v>
      </c>
      <c r="T41" s="9" t="n">
        <v>29.603063</v>
      </c>
      <c r="U41" s="9" t="n">
        <v>6.878695</v>
      </c>
    </row>
    <row r="42">
      <c r="A42" s="14" t="n">
        <v>32</v>
      </c>
      <c r="B42" s="14" t="n">
        <v>3600000000</v>
      </c>
      <c r="C42" s="14" t="n">
        <v>38.407622</v>
      </c>
      <c r="D42" s="14" t="n">
        <v>0.000112</v>
      </c>
      <c r="E42" s="14" t="n">
        <v>0.769151</v>
      </c>
      <c r="F42" t="n">
        <v>11.407622</v>
      </c>
      <c r="G42" t="n">
        <v>29.853313</v>
      </c>
      <c r="H42" t="n">
        <v>6.930463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38.407622</v>
      </c>
      <c r="Q42" s="9" t="n">
        <v>0.000112</v>
      </c>
      <c r="R42" s="9" t="n">
        <v>0.769151</v>
      </c>
      <c r="S42" s="9" t="n">
        <v>11.407622</v>
      </c>
      <c r="T42" s="9" t="n">
        <v>29.853313</v>
      </c>
      <c r="U42" s="9" t="n">
        <v>6.930463</v>
      </c>
    </row>
    <row r="43">
      <c r="A43" s="14" t="n">
        <v>33</v>
      </c>
      <c r="B43" s="14" t="n">
        <v>3700000000</v>
      </c>
      <c r="C43" s="14" t="n">
        <v>38.652778</v>
      </c>
      <c r="D43" s="14" t="n">
        <v>-0.000231</v>
      </c>
      <c r="E43" s="14" t="n">
        <v>0.765359</v>
      </c>
      <c r="F43" t="n">
        <v>11.652778</v>
      </c>
      <c r="G43" t="n">
        <v>31.879279</v>
      </c>
      <c r="H43" t="n">
        <v>7.332934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38.652778</v>
      </c>
      <c r="Q43" s="9" t="n">
        <v>-0.000231</v>
      </c>
      <c r="R43" s="9" t="n">
        <v>0.765359</v>
      </c>
      <c r="S43" s="9" t="n">
        <v>11.652778</v>
      </c>
      <c r="T43" s="9" t="n">
        <v>31.879279</v>
      </c>
      <c r="U43" s="9" t="n">
        <v>7.332934</v>
      </c>
    </row>
    <row r="44">
      <c r="A44" s="14" t="n">
        <v>34</v>
      </c>
      <c r="B44" s="14" t="n">
        <v>3800000000</v>
      </c>
      <c r="C44" s="14" t="n">
        <v>38.660772</v>
      </c>
      <c r="D44" s="14" t="n">
        <v>-0.000346</v>
      </c>
      <c r="E44" s="14" t="n">
        <v>0.775466</v>
      </c>
      <c r="F44" t="n">
        <v>11.660772</v>
      </c>
      <c r="G44" t="n">
        <v>31.525996</v>
      </c>
      <c r="H44" t="n">
        <v>7.346444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38.660772</v>
      </c>
      <c r="Q44" s="9" t="n">
        <v>-0.000346</v>
      </c>
      <c r="R44" s="9" t="n">
        <v>0.775466</v>
      </c>
      <c r="S44" s="9" t="n">
        <v>11.660772</v>
      </c>
      <c r="T44" s="9" t="n">
        <v>31.525996</v>
      </c>
      <c r="U44" s="9" t="n">
        <v>7.346444</v>
      </c>
    </row>
    <row r="45">
      <c r="A45" s="14" t="n">
        <v>35</v>
      </c>
      <c r="B45" s="14" t="n">
        <v>3900000000</v>
      </c>
      <c r="C45" s="14" t="n">
        <v>38.801104</v>
      </c>
      <c r="D45" s="14" t="n">
        <v>-0.000132</v>
      </c>
      <c r="E45" s="14" t="n">
        <v>0.766245</v>
      </c>
      <c r="F45" t="n">
        <v>11.801104</v>
      </c>
      <c r="G45" t="n">
        <v>33.029891</v>
      </c>
      <c r="H45" t="n">
        <v>7.587704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38.801104</v>
      </c>
      <c r="Q45" s="9" t="n">
        <v>-0.000132</v>
      </c>
      <c r="R45" s="9" t="n">
        <v>0.766245</v>
      </c>
      <c r="S45" s="9" t="n">
        <v>11.801104</v>
      </c>
      <c r="T45" s="9" t="n">
        <v>33.029891</v>
      </c>
      <c r="U45" s="9" t="n">
        <v>7.587704</v>
      </c>
    </row>
    <row r="46">
      <c r="A46" s="14" t="n">
        <v>36</v>
      </c>
      <c r="B46" s="14" t="n">
        <v>4000000000</v>
      </c>
      <c r="C46" s="14" t="n">
        <v>38.624474</v>
      </c>
      <c r="D46" s="14" t="n">
        <v>0.000163</v>
      </c>
      <c r="E46" s="14" t="n">
        <v>0.763983</v>
      </c>
      <c r="F46" t="n">
        <v>11.624474</v>
      </c>
      <c r="G46" t="n">
        <v>31.714039</v>
      </c>
      <c r="H46" t="n">
        <v>7.2853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38.624474</v>
      </c>
      <c r="Q46" s="9" t="n">
        <v>0.000163</v>
      </c>
      <c r="R46" s="9" t="n">
        <v>0.763983</v>
      </c>
      <c r="S46" s="9" t="n">
        <v>11.624474</v>
      </c>
      <c r="T46" s="9" t="n">
        <v>31.714039</v>
      </c>
      <c r="U46" s="9" t="n">
        <v>7.2853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39.403787</v>
      </c>
      <c r="D11" s="14" t="n">
        <v>-0.000344</v>
      </c>
      <c r="E11" s="14" t="n">
        <v>0.520844</v>
      </c>
      <c r="F11" t="n">
        <v>12.403787</v>
      </c>
      <c r="G11" t="n">
        <v>56.337428</v>
      </c>
      <c r="H11" t="n">
        <v>8.717233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39.403787</v>
      </c>
      <c r="Q11" s="9" t="n">
        <v>-0.000344</v>
      </c>
      <c r="R11" s="9" t="n">
        <v>0.520844</v>
      </c>
      <c r="S11" s="9" t="n">
        <v>12.403787</v>
      </c>
      <c r="T11" s="9" t="n">
        <v>56.337428</v>
      </c>
      <c r="U11" s="9" t="n">
        <v>8.717233</v>
      </c>
    </row>
    <row r="12">
      <c r="A12" s="14" t="n">
        <v>2</v>
      </c>
      <c r="B12" s="14" t="n">
        <v>600000000</v>
      </c>
      <c r="C12" s="14" t="n">
        <v>39.366051</v>
      </c>
      <c r="D12" s="14" t="n">
        <v>0.000116</v>
      </c>
      <c r="E12" s="14" t="n">
        <v>0.493991</v>
      </c>
      <c r="F12" t="n">
        <v>12.366051</v>
      </c>
      <c r="G12" t="n">
        <v>58.854658</v>
      </c>
      <c r="H12" t="n">
        <v>8.641819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39.366051</v>
      </c>
      <c r="Q12" s="9" t="n">
        <v>0.000116</v>
      </c>
      <c r="R12" s="9" t="n">
        <v>0.493991</v>
      </c>
      <c r="S12" s="9" t="n">
        <v>12.366051</v>
      </c>
      <c r="T12" s="9" t="n">
        <v>58.854658</v>
      </c>
      <c r="U12" s="9" t="n">
        <v>8.641819</v>
      </c>
    </row>
    <row r="13">
      <c r="A13" s="14" t="n">
        <v>3</v>
      </c>
      <c r="B13" s="14" t="n">
        <v>700000000</v>
      </c>
      <c r="C13" s="14" t="n">
        <v>39.281242</v>
      </c>
      <c r="D13" s="14" t="n">
        <v>-9e-06</v>
      </c>
      <c r="E13" s="14" t="n">
        <v>0.500846</v>
      </c>
      <c r="F13" t="n">
        <v>12.281242</v>
      </c>
      <c r="G13" t="n">
        <v>56.857419</v>
      </c>
      <c r="H13" t="n">
        <v>8.474698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39.281242</v>
      </c>
      <c r="Q13" s="9" t="n">
        <v>-9e-06</v>
      </c>
      <c r="R13" s="9" t="n">
        <v>0.500846</v>
      </c>
      <c r="S13" s="9" t="n">
        <v>12.281242</v>
      </c>
      <c r="T13" s="9" t="n">
        <v>56.857419</v>
      </c>
      <c r="U13" s="9" t="n">
        <v>8.474698</v>
      </c>
    </row>
    <row r="14">
      <c r="A14" s="14" t="n">
        <v>4</v>
      </c>
      <c r="B14" s="14" t="n">
        <v>800000000</v>
      </c>
      <c r="C14" s="14" t="n">
        <v>39.614452</v>
      </c>
      <c r="D14" s="14" t="n">
        <v>-0.00033</v>
      </c>
      <c r="E14" s="14" t="n">
        <v>0.540564</v>
      </c>
      <c r="F14" t="n">
        <v>12.614452</v>
      </c>
      <c r="G14" t="n">
        <v>57.144849</v>
      </c>
      <c r="H14" t="n">
        <v>9.150506999999999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39.614452</v>
      </c>
      <c r="Q14" s="9" t="n">
        <v>-0.00033</v>
      </c>
      <c r="R14" s="9" t="n">
        <v>0.540564</v>
      </c>
      <c r="S14" s="9" t="n">
        <v>12.614452</v>
      </c>
      <c r="T14" s="9" t="n">
        <v>57.144849</v>
      </c>
      <c r="U14" s="9" t="n">
        <v>9.150506999999999</v>
      </c>
    </row>
    <row r="15">
      <c r="A15" s="14" t="n">
        <v>5</v>
      </c>
      <c r="B15" s="14" t="n">
        <v>900000000</v>
      </c>
      <c r="C15" s="14" t="n">
        <v>39.810296</v>
      </c>
      <c r="D15" s="14" t="n">
        <v>-0.000129</v>
      </c>
      <c r="E15" s="14" t="n">
        <v>0.553238</v>
      </c>
      <c r="F15" t="n">
        <v>12.810296</v>
      </c>
      <c r="G15" t="n">
        <v>58.560429</v>
      </c>
      <c r="H15" t="n">
        <v>9.572592999999999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39.810296</v>
      </c>
      <c r="Q15" s="9" t="n">
        <v>-0.000129</v>
      </c>
      <c r="R15" s="9" t="n">
        <v>0.553238</v>
      </c>
      <c r="S15" s="9" t="n">
        <v>12.810296</v>
      </c>
      <c r="T15" s="9" t="n">
        <v>58.560429</v>
      </c>
      <c r="U15" s="9" t="n">
        <v>9.572592999999999</v>
      </c>
    </row>
    <row r="16">
      <c r="A16" s="14" t="n">
        <v>6</v>
      </c>
      <c r="B16" s="14" t="n">
        <v>1000000000</v>
      </c>
      <c r="C16" s="14" t="n">
        <v>39.822037</v>
      </c>
      <c r="D16" s="14" t="n">
        <v>9e-06</v>
      </c>
      <c r="E16" s="14" t="n">
        <v>0.577703</v>
      </c>
      <c r="F16" t="n">
        <v>12.822037</v>
      </c>
      <c r="G16" t="n">
        <v>56.240723</v>
      </c>
      <c r="H16" t="n">
        <v>9.598508000000001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39.822037</v>
      </c>
      <c r="Q16" s="9" t="n">
        <v>9e-06</v>
      </c>
      <c r="R16" s="9" t="n">
        <v>0.577703</v>
      </c>
      <c r="S16" s="9" t="n">
        <v>12.822037</v>
      </c>
      <c r="T16" s="9" t="n">
        <v>56.240723</v>
      </c>
      <c r="U16" s="9" t="n">
        <v>9.598508000000001</v>
      </c>
    </row>
    <row r="17">
      <c r="A17" s="14" t="n">
        <v>7</v>
      </c>
      <c r="B17" s="14" t="n">
        <v>1100000000</v>
      </c>
      <c r="C17" s="14" t="n">
        <v>39.728233</v>
      </c>
      <c r="D17" s="14" t="n">
        <v>-0.000244</v>
      </c>
      <c r="E17" s="14" t="n">
        <v>0.5766520000000001</v>
      </c>
      <c r="F17" t="n">
        <v>12.728233</v>
      </c>
      <c r="G17" t="n">
        <v>55.072984</v>
      </c>
      <c r="H17" t="n">
        <v>9.393411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39.728233</v>
      </c>
      <c r="Q17" s="9" t="n">
        <v>-0.000244</v>
      </c>
      <c r="R17" s="9" t="n">
        <v>0.5766520000000001</v>
      </c>
      <c r="S17" s="9" t="n">
        <v>12.728233</v>
      </c>
      <c r="T17" s="9" t="n">
        <v>55.072984</v>
      </c>
      <c r="U17" s="9" t="n">
        <v>9.393411</v>
      </c>
    </row>
    <row r="18">
      <c r="A18" s="14" t="n">
        <v>8</v>
      </c>
      <c r="B18" s="14" t="n">
        <v>1200000000</v>
      </c>
      <c r="C18" s="14" t="n">
        <v>39.371723</v>
      </c>
      <c r="D18" s="14" t="n">
        <v>-0.000393</v>
      </c>
      <c r="E18" s="14" t="n">
        <v>0.595596</v>
      </c>
      <c r="F18" t="n">
        <v>12.371723</v>
      </c>
      <c r="G18" t="n">
        <v>48.882163</v>
      </c>
      <c r="H18" t="n">
        <v>8.653111000000001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39.371723</v>
      </c>
      <c r="Q18" s="9" t="n">
        <v>-0.000393</v>
      </c>
      <c r="R18" s="9" t="n">
        <v>0.595596</v>
      </c>
      <c r="S18" s="9" t="n">
        <v>12.371723</v>
      </c>
      <c r="T18" s="9" t="n">
        <v>48.882163</v>
      </c>
      <c r="U18" s="9" t="n">
        <v>8.653111000000001</v>
      </c>
    </row>
    <row r="19">
      <c r="A19" s="14" t="n">
        <v>9</v>
      </c>
      <c r="B19" s="14" t="n">
        <v>1300000000</v>
      </c>
      <c r="C19" s="14" t="n">
        <v>39.425093</v>
      </c>
      <c r="D19" s="14" t="n">
        <v>-0.00017</v>
      </c>
      <c r="E19" s="14" t="n">
        <v>0.636346</v>
      </c>
      <c r="F19" t="n">
        <v>12.425093</v>
      </c>
      <c r="G19" t="n">
        <v>46.352366</v>
      </c>
      <c r="H19" t="n">
        <v>8.760104999999999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39.425093</v>
      </c>
      <c r="Q19" s="9" t="n">
        <v>-0.00017</v>
      </c>
      <c r="R19" s="9" t="n">
        <v>0.636346</v>
      </c>
      <c r="S19" s="9" t="n">
        <v>12.425093</v>
      </c>
      <c r="T19" s="9" t="n">
        <v>46.352366</v>
      </c>
      <c r="U19" s="9" t="n">
        <v>8.760104999999999</v>
      </c>
    </row>
    <row r="20">
      <c r="A20" s="14" t="n">
        <v>10</v>
      </c>
      <c r="B20" s="14" t="n">
        <v>1400000000</v>
      </c>
      <c r="C20" s="14" t="n">
        <v>39.453515</v>
      </c>
      <c r="D20" s="14" t="n">
        <v>-0.000151</v>
      </c>
      <c r="E20" s="14" t="n">
        <v>0.649537</v>
      </c>
      <c r="F20" t="n">
        <v>12.453515</v>
      </c>
      <c r="G20" t="n">
        <v>45.727255</v>
      </c>
      <c r="H20" t="n">
        <v>8.817622999999999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39.453515</v>
      </c>
      <c r="Q20" s="9" t="n">
        <v>-0.000151</v>
      </c>
      <c r="R20" s="9" t="n">
        <v>0.649537</v>
      </c>
      <c r="S20" s="9" t="n">
        <v>12.453515</v>
      </c>
      <c r="T20" s="9" t="n">
        <v>45.727255</v>
      </c>
      <c r="U20" s="9" t="n">
        <v>8.817622999999999</v>
      </c>
    </row>
    <row r="21">
      <c r="A21" s="14" t="n">
        <v>11</v>
      </c>
      <c r="B21" s="14" t="n">
        <v>1500000000</v>
      </c>
      <c r="C21" s="14" t="n">
        <v>39.398613</v>
      </c>
      <c r="D21" s="14" t="n">
        <v>5.2e-05</v>
      </c>
      <c r="E21" s="14" t="n">
        <v>0.661265</v>
      </c>
      <c r="F21" t="n">
        <v>12.398613</v>
      </c>
      <c r="G21" t="n">
        <v>44.318027</v>
      </c>
      <c r="H21" t="n">
        <v>8.706854999999999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39.398613</v>
      </c>
      <c r="Q21" s="9" t="n">
        <v>5.2e-05</v>
      </c>
      <c r="R21" s="9" t="n">
        <v>0.661265</v>
      </c>
      <c r="S21" s="9" t="n">
        <v>12.398613</v>
      </c>
      <c r="T21" s="9" t="n">
        <v>44.318027</v>
      </c>
      <c r="U21" s="9" t="n">
        <v>8.706854999999999</v>
      </c>
    </row>
    <row r="22">
      <c r="A22" s="14" t="n">
        <v>12</v>
      </c>
      <c r="B22" s="14" t="n">
        <v>1600000000</v>
      </c>
      <c r="C22" s="14" t="n">
        <v>39.343654</v>
      </c>
      <c r="D22" s="14" t="n">
        <v>-0.000443</v>
      </c>
      <c r="E22" s="14" t="n">
        <v>0.677252</v>
      </c>
      <c r="F22" t="n">
        <v>12.343654</v>
      </c>
      <c r="G22" t="n">
        <v>42.694516</v>
      </c>
      <c r="H22" t="n">
        <v>8.597365999999999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39.343654</v>
      </c>
      <c r="Q22" s="9" t="n">
        <v>-0.000443</v>
      </c>
      <c r="R22" s="9" t="n">
        <v>0.677252</v>
      </c>
      <c r="S22" s="9" t="n">
        <v>12.343654</v>
      </c>
      <c r="T22" s="9" t="n">
        <v>42.694516</v>
      </c>
      <c r="U22" s="9" t="n">
        <v>8.597365999999999</v>
      </c>
    </row>
    <row r="23">
      <c r="A23" s="14" t="n">
        <v>13</v>
      </c>
      <c r="B23" s="14" t="n">
        <v>1700000000</v>
      </c>
      <c r="C23" s="14" t="n">
        <v>39.279644</v>
      </c>
      <c r="D23" s="14" t="n">
        <v>-0.000274</v>
      </c>
      <c r="E23" s="14" t="n">
        <v>0.6696260000000001</v>
      </c>
      <c r="F23" t="n">
        <v>12.279644</v>
      </c>
      <c r="G23" t="n">
        <v>42.509837</v>
      </c>
      <c r="H23" t="n">
        <v>8.471579999999999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39.279644</v>
      </c>
      <c r="Q23" s="9" t="n">
        <v>-0.000274</v>
      </c>
      <c r="R23" s="9" t="n">
        <v>0.6696260000000001</v>
      </c>
      <c r="S23" s="9" t="n">
        <v>12.279644</v>
      </c>
      <c r="T23" s="9" t="n">
        <v>42.509837</v>
      </c>
      <c r="U23" s="9" t="n">
        <v>8.471579999999999</v>
      </c>
    </row>
    <row r="24">
      <c r="A24" s="14" t="n">
        <v>14</v>
      </c>
      <c r="B24" s="14" t="n">
        <v>1800000000</v>
      </c>
      <c r="C24" s="14" t="n">
        <v>39.494077</v>
      </c>
      <c r="D24" s="14" t="n">
        <v>-0.000669</v>
      </c>
      <c r="E24" s="14" t="n">
        <v>0.650575</v>
      </c>
      <c r="F24" t="n">
        <v>12.494077</v>
      </c>
      <c r="G24" t="n">
        <v>46.108497</v>
      </c>
      <c r="H24" t="n">
        <v>8.900361999999999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39.494077</v>
      </c>
      <c r="Q24" s="9" t="n">
        <v>-0.000669</v>
      </c>
      <c r="R24" s="9" t="n">
        <v>0.650575</v>
      </c>
      <c r="S24" s="9" t="n">
        <v>12.494077</v>
      </c>
      <c r="T24" s="9" t="n">
        <v>46.108497</v>
      </c>
      <c r="U24" s="9" t="n">
        <v>8.900361999999999</v>
      </c>
    </row>
    <row r="25">
      <c r="A25" s="14" t="n">
        <v>15</v>
      </c>
      <c r="B25" s="14" t="n">
        <v>1900000000</v>
      </c>
      <c r="C25" s="14" t="n">
        <v>39.497816</v>
      </c>
      <c r="D25" s="14" t="n">
        <v>-0.000381</v>
      </c>
      <c r="E25" s="14" t="n">
        <v>0.60826</v>
      </c>
      <c r="F25" t="n">
        <v>12.497816</v>
      </c>
      <c r="G25" t="n">
        <v>49.361195</v>
      </c>
      <c r="H25" t="n">
        <v>8.908029000000001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39.497816</v>
      </c>
      <c r="Q25" s="9" t="n">
        <v>-0.000381</v>
      </c>
      <c r="R25" s="9" t="n">
        <v>0.60826</v>
      </c>
      <c r="S25" s="9" t="n">
        <v>12.497816</v>
      </c>
      <c r="T25" s="9" t="n">
        <v>49.361195</v>
      </c>
      <c r="U25" s="9" t="n">
        <v>8.908029000000001</v>
      </c>
    </row>
    <row r="26">
      <c r="A26" s="14" t="n">
        <v>16</v>
      </c>
      <c r="B26" s="14" t="n">
        <v>2000000000</v>
      </c>
      <c r="C26" s="14" t="n">
        <v>39.709802</v>
      </c>
      <c r="D26" s="14" t="n">
        <v>-0.00025</v>
      </c>
      <c r="E26" s="14" t="n">
        <v>0.6073499999999999</v>
      </c>
      <c r="F26" t="n">
        <v>12.709802</v>
      </c>
      <c r="G26" t="n">
        <v>52.055404</v>
      </c>
      <c r="H26" t="n">
        <v>9.353630000000001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39.709802</v>
      </c>
      <c r="Q26" s="9" t="n">
        <v>-0.00025</v>
      </c>
      <c r="R26" s="9" t="n">
        <v>0.6073499999999999</v>
      </c>
      <c r="S26" s="9" t="n">
        <v>12.709802</v>
      </c>
      <c r="T26" s="9" t="n">
        <v>52.055404</v>
      </c>
      <c r="U26" s="9" t="n">
        <v>9.353630000000001</v>
      </c>
    </row>
    <row r="27">
      <c r="A27" s="14" t="n">
        <v>17</v>
      </c>
      <c r="B27" s="14" t="n">
        <v>2100000000</v>
      </c>
      <c r="C27" s="14" t="n">
        <v>39.955724</v>
      </c>
      <c r="D27" s="14" t="n">
        <v>0.000128</v>
      </c>
      <c r="E27" s="14" t="n">
        <v>0.6153960000000001</v>
      </c>
      <c r="F27" t="n">
        <v>12.955724</v>
      </c>
      <c r="G27" t="n">
        <v>54.537388</v>
      </c>
      <c r="H27" t="n">
        <v>9.898569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39.955724</v>
      </c>
      <c r="Q27" s="9" t="n">
        <v>0.000128</v>
      </c>
      <c r="R27" s="9" t="n">
        <v>0.6153960000000001</v>
      </c>
      <c r="S27" s="9" t="n">
        <v>12.955724</v>
      </c>
      <c r="T27" s="9" t="n">
        <v>54.537388</v>
      </c>
      <c r="U27" s="9" t="n">
        <v>9.898569</v>
      </c>
    </row>
    <row r="28">
      <c r="A28" s="14" t="n">
        <v>18</v>
      </c>
      <c r="B28" s="14" t="n">
        <v>2200000000</v>
      </c>
      <c r="C28" s="14" t="n">
        <v>39.75629</v>
      </c>
      <c r="D28" s="14" t="n">
        <v>-0.000184</v>
      </c>
      <c r="E28" s="14" t="n">
        <v>0.60609</v>
      </c>
      <c r="F28" t="n">
        <v>12.75629</v>
      </c>
      <c r="G28" t="n">
        <v>52.75679</v>
      </c>
      <c r="H28" t="n">
        <v>9.454291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39.75629</v>
      </c>
      <c r="Q28" s="9" t="n">
        <v>-0.000184</v>
      </c>
      <c r="R28" s="9" t="n">
        <v>0.60609</v>
      </c>
      <c r="S28" s="9" t="n">
        <v>12.75629</v>
      </c>
      <c r="T28" s="9" t="n">
        <v>52.75679</v>
      </c>
      <c r="U28" s="9" t="n">
        <v>9.454291</v>
      </c>
    </row>
    <row r="29">
      <c r="A29" s="14" t="n">
        <v>19</v>
      </c>
      <c r="B29" s="14" t="n">
        <v>2300000000</v>
      </c>
      <c r="C29" s="14" t="n">
        <v>39.963506</v>
      </c>
      <c r="D29" s="14" t="n">
        <v>8.2e-05</v>
      </c>
      <c r="E29" s="14" t="n">
        <v>0.65177</v>
      </c>
      <c r="F29" t="n">
        <v>12.963506</v>
      </c>
      <c r="G29" t="n">
        <v>51.591015</v>
      </c>
      <c r="H29" t="n">
        <v>9.916321999999999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39.963506</v>
      </c>
      <c r="Q29" s="9" t="n">
        <v>8.2e-05</v>
      </c>
      <c r="R29" s="9" t="n">
        <v>0.65177</v>
      </c>
      <c r="S29" s="9" t="n">
        <v>12.963506</v>
      </c>
      <c r="T29" s="9" t="n">
        <v>51.591015</v>
      </c>
      <c r="U29" s="9" t="n">
        <v>9.916321999999999</v>
      </c>
    </row>
    <row r="30">
      <c r="A30" s="14" t="n">
        <v>20</v>
      </c>
      <c r="B30" s="14" t="n">
        <v>2400000000</v>
      </c>
      <c r="C30" s="14" t="n">
        <v>39.83819</v>
      </c>
      <c r="D30" s="14" t="n">
        <v>0.000109</v>
      </c>
      <c r="E30" s="14" t="n">
        <v>0.660292</v>
      </c>
      <c r="F30" t="n">
        <v>12.83819</v>
      </c>
      <c r="G30" t="n">
        <v>49.399624</v>
      </c>
      <c r="H30" t="n">
        <v>9.634275000000001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39.83819</v>
      </c>
      <c r="Q30" s="9" t="n">
        <v>0.000109</v>
      </c>
      <c r="R30" s="9" t="n">
        <v>0.660292</v>
      </c>
      <c r="S30" s="9" t="n">
        <v>12.83819</v>
      </c>
      <c r="T30" s="9" t="n">
        <v>49.399624</v>
      </c>
      <c r="U30" s="9" t="n">
        <v>9.634275000000001</v>
      </c>
    </row>
    <row r="31">
      <c r="A31" s="14" t="n">
        <v>21</v>
      </c>
      <c r="B31" s="14" t="n">
        <v>2500000000</v>
      </c>
      <c r="C31" s="14" t="n">
        <v>39.664417</v>
      </c>
      <c r="D31" s="14" t="n">
        <v>-0.000195</v>
      </c>
      <c r="E31" s="14" t="n">
        <v>0.660155</v>
      </c>
      <c r="F31" t="n">
        <v>12.664417</v>
      </c>
      <c r="G31" t="n">
        <v>47.365534</v>
      </c>
      <c r="H31" t="n">
        <v>9.256391000000001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39.664417</v>
      </c>
      <c r="Q31" s="9" t="n">
        <v>-0.000195</v>
      </c>
      <c r="R31" s="9" t="n">
        <v>0.660155</v>
      </c>
      <c r="S31" s="9" t="n">
        <v>12.664417</v>
      </c>
      <c r="T31" s="9" t="n">
        <v>47.365534</v>
      </c>
      <c r="U31" s="9" t="n">
        <v>9.256391000000001</v>
      </c>
    </row>
    <row r="32">
      <c r="A32" s="14" t="n">
        <v>22</v>
      </c>
      <c r="B32" s="14" t="n">
        <v>2600000000</v>
      </c>
      <c r="C32" s="14" t="n">
        <v>39.646321</v>
      </c>
      <c r="D32" s="14" t="n">
        <v>-0.000535</v>
      </c>
      <c r="E32" s="14" t="n">
        <v>0.662592</v>
      </c>
      <c r="F32" t="n">
        <v>12.646321</v>
      </c>
      <c r="G32" t="n">
        <v>46.98382</v>
      </c>
      <c r="H32" t="n">
        <v>9.217902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39.646321</v>
      </c>
      <c r="Q32" s="9" t="n">
        <v>-0.000535</v>
      </c>
      <c r="R32" s="9" t="n">
        <v>0.662592</v>
      </c>
      <c r="S32" s="9" t="n">
        <v>12.646321</v>
      </c>
      <c r="T32" s="9" t="n">
        <v>46.98382</v>
      </c>
      <c r="U32" s="9" t="n">
        <v>9.217902</v>
      </c>
    </row>
    <row r="33">
      <c r="A33" s="14" t="n">
        <v>23</v>
      </c>
      <c r="B33" s="14" t="n">
        <v>2700000000</v>
      </c>
      <c r="C33" s="14" t="n">
        <v>39.655293</v>
      </c>
      <c r="D33" s="14" t="n">
        <v>-0.000269</v>
      </c>
      <c r="E33" s="14" t="n">
        <v>0.688819</v>
      </c>
      <c r="F33" t="n">
        <v>12.655293</v>
      </c>
      <c r="G33" t="n">
        <v>45.293783</v>
      </c>
      <c r="H33" t="n">
        <v>9.236964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39.655293</v>
      </c>
      <c r="Q33" s="9" t="n">
        <v>-0.000269</v>
      </c>
      <c r="R33" s="9" t="n">
        <v>0.688819</v>
      </c>
      <c r="S33" s="9" t="n">
        <v>12.655293</v>
      </c>
      <c r="T33" s="9" t="n">
        <v>45.293783</v>
      </c>
      <c r="U33" s="9" t="n">
        <v>9.236964</v>
      </c>
    </row>
    <row r="34">
      <c r="A34" s="14" t="n">
        <v>24</v>
      </c>
      <c r="B34" s="14" t="n">
        <v>2800000000</v>
      </c>
      <c r="C34" s="14" t="n">
        <v>39.216656</v>
      </c>
      <c r="D34" s="14" t="n">
        <v>0.000405</v>
      </c>
      <c r="E34" s="14" t="n">
        <v>0.703971</v>
      </c>
      <c r="F34" t="n">
        <v>12.216656</v>
      </c>
      <c r="G34" t="n">
        <v>39.817014</v>
      </c>
      <c r="H34" t="n">
        <v>8.349598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39.216656</v>
      </c>
      <c r="Q34" s="9" t="n">
        <v>0.000405</v>
      </c>
      <c r="R34" s="9" t="n">
        <v>0.703971</v>
      </c>
      <c r="S34" s="9" t="n">
        <v>12.216656</v>
      </c>
      <c r="T34" s="9" t="n">
        <v>39.817014</v>
      </c>
      <c r="U34" s="9" t="n">
        <v>8.349598</v>
      </c>
    </row>
    <row r="35">
      <c r="A35" s="14" t="n">
        <v>25</v>
      </c>
      <c r="B35" s="14" t="n">
        <v>2900000000</v>
      </c>
      <c r="C35" s="14" t="n">
        <v>39.117832</v>
      </c>
      <c r="D35" s="14" t="n">
        <v>-6.1e-05</v>
      </c>
      <c r="E35" s="14" t="n">
        <v>0.716099</v>
      </c>
      <c r="F35" t="n">
        <v>12.117832</v>
      </c>
      <c r="G35" t="n">
        <v>38.205835</v>
      </c>
      <c r="H35" t="n">
        <v>8.161749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39.117832</v>
      </c>
      <c r="Q35" s="9" t="n">
        <v>-6.1e-05</v>
      </c>
      <c r="R35" s="9" t="n">
        <v>0.716099</v>
      </c>
      <c r="S35" s="9" t="n">
        <v>12.117832</v>
      </c>
      <c r="T35" s="9" t="n">
        <v>38.205835</v>
      </c>
      <c r="U35" s="9" t="n">
        <v>8.161749</v>
      </c>
    </row>
    <row r="36">
      <c r="A36" s="14" t="n">
        <v>26</v>
      </c>
      <c r="B36" s="14" t="n">
        <v>3000000000</v>
      </c>
      <c r="C36" s="14" t="n">
        <v>39.11959</v>
      </c>
      <c r="D36" s="14" t="n">
        <v>-0.000233</v>
      </c>
      <c r="E36" s="14" t="n">
        <v>0.718515</v>
      </c>
      <c r="F36" t="n">
        <v>12.11959</v>
      </c>
      <c r="G36" t="n">
        <v>38.093785</v>
      </c>
      <c r="H36" t="n">
        <v>8.165051999999999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39.11959</v>
      </c>
      <c r="Q36" s="9" t="n">
        <v>-0.000233</v>
      </c>
      <c r="R36" s="9" t="n">
        <v>0.718515</v>
      </c>
      <c r="S36" s="9" t="n">
        <v>12.11959</v>
      </c>
      <c r="T36" s="9" t="n">
        <v>38.093785</v>
      </c>
      <c r="U36" s="9" t="n">
        <v>8.165051999999999</v>
      </c>
    </row>
    <row r="37">
      <c r="A37" s="14" t="n">
        <v>27</v>
      </c>
      <c r="B37" s="14" t="n">
        <v>3100000000</v>
      </c>
      <c r="C37" s="14" t="n">
        <v>38.843219</v>
      </c>
      <c r="D37" s="14" t="n">
        <v>-9e-06</v>
      </c>
      <c r="E37" s="14" t="n">
        <v>0.738077</v>
      </c>
      <c r="F37" t="n">
        <v>11.843219</v>
      </c>
      <c r="G37" t="n">
        <v>34.648231</v>
      </c>
      <c r="H37" t="n">
        <v>7.661642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38.843219</v>
      </c>
      <c r="Q37" s="9" t="n">
        <v>-9e-06</v>
      </c>
      <c r="R37" s="9" t="n">
        <v>0.738077</v>
      </c>
      <c r="S37" s="9" t="n">
        <v>11.843219</v>
      </c>
      <c r="T37" s="9" t="n">
        <v>34.648231</v>
      </c>
      <c r="U37" s="9" t="n">
        <v>7.661642</v>
      </c>
    </row>
    <row r="38">
      <c r="A38" s="14" t="n">
        <v>28</v>
      </c>
      <c r="B38" s="14" t="n">
        <v>3200000000</v>
      </c>
      <c r="C38" s="14" t="n">
        <v>38.862677</v>
      </c>
      <c r="D38" s="14" t="n">
        <v>0.000122</v>
      </c>
      <c r="E38" s="14" t="n">
        <v>0.760561</v>
      </c>
      <c r="F38" t="n">
        <v>11.862677</v>
      </c>
      <c r="G38" t="n">
        <v>33.785472</v>
      </c>
      <c r="H38" t="n">
        <v>7.696046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38.862677</v>
      </c>
      <c r="Q38" s="9" t="n">
        <v>0.000122</v>
      </c>
      <c r="R38" s="9" t="n">
        <v>0.760561</v>
      </c>
      <c r="S38" s="9" t="n">
        <v>11.862677</v>
      </c>
      <c r="T38" s="9" t="n">
        <v>33.785472</v>
      </c>
      <c r="U38" s="9" t="n">
        <v>7.696046</v>
      </c>
    </row>
    <row r="39">
      <c r="A39" s="14" t="n">
        <v>29</v>
      </c>
      <c r="B39" s="14" t="n">
        <v>3300000000</v>
      </c>
      <c r="C39" s="14" t="n">
        <v>38.745545</v>
      </c>
      <c r="D39" s="14" t="n">
        <v>-0.000202</v>
      </c>
      <c r="E39" s="14" t="n">
        <v>0.752757</v>
      </c>
      <c r="F39" t="n">
        <v>11.745545</v>
      </c>
      <c r="G39" t="n">
        <v>33.164134</v>
      </c>
      <c r="H39" t="n">
        <v>7.491254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38.745545</v>
      </c>
      <c r="Q39" s="9" t="n">
        <v>-0.000202</v>
      </c>
      <c r="R39" s="9" t="n">
        <v>0.752757</v>
      </c>
      <c r="S39" s="9" t="n">
        <v>11.745545</v>
      </c>
      <c r="T39" s="9" t="n">
        <v>33.164134</v>
      </c>
      <c r="U39" s="9" t="n">
        <v>7.491254</v>
      </c>
    </row>
    <row r="40">
      <c r="A40" s="14" t="n">
        <v>30</v>
      </c>
      <c r="B40" s="14" t="n">
        <v>3400000000</v>
      </c>
      <c r="C40" s="14" t="n">
        <v>38.415402</v>
      </c>
      <c r="D40" s="14" t="n">
        <v>-0.000377</v>
      </c>
      <c r="E40" s="14" t="n">
        <v>0.763862</v>
      </c>
      <c r="F40" t="n">
        <v>11.415402</v>
      </c>
      <c r="G40" t="n">
        <v>30.118117</v>
      </c>
      <c r="H40" t="n">
        <v>6.942889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38.415402</v>
      </c>
      <c r="Q40" s="9" t="n">
        <v>-0.000377</v>
      </c>
      <c r="R40" s="9" t="n">
        <v>0.763862</v>
      </c>
      <c r="S40" s="9" t="n">
        <v>11.415402</v>
      </c>
      <c r="T40" s="9" t="n">
        <v>30.118117</v>
      </c>
      <c r="U40" s="9" t="n">
        <v>6.942889</v>
      </c>
    </row>
    <row r="41">
      <c r="A41" s="14" t="n">
        <v>31</v>
      </c>
      <c r="B41" s="14" t="n">
        <v>3500000000</v>
      </c>
      <c r="C41" s="14" t="n">
        <v>38.283171</v>
      </c>
      <c r="D41" s="14" t="n">
        <v>7.8e-05</v>
      </c>
      <c r="E41" s="14" t="n">
        <v>0.7837499999999999</v>
      </c>
      <c r="F41" t="n">
        <v>11.283171</v>
      </c>
      <c r="G41" t="n">
        <v>28.405081</v>
      </c>
      <c r="H41" t="n">
        <v>6.734683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38.283171</v>
      </c>
      <c r="Q41" s="9" t="n">
        <v>7.8e-05</v>
      </c>
      <c r="R41" s="9" t="n">
        <v>0.7837499999999999</v>
      </c>
      <c r="S41" s="9" t="n">
        <v>11.283171</v>
      </c>
      <c r="T41" s="9" t="n">
        <v>28.405081</v>
      </c>
      <c r="U41" s="9" t="n">
        <v>6.734683</v>
      </c>
    </row>
    <row r="42">
      <c r="A42" s="14" t="n">
        <v>32</v>
      </c>
      <c r="B42" s="14" t="n">
        <v>3600000000</v>
      </c>
      <c r="C42" s="14" t="n">
        <v>38.347162</v>
      </c>
      <c r="D42" s="14" t="n">
        <v>-0.000539</v>
      </c>
      <c r="E42" s="14" t="n">
        <v>0.787585</v>
      </c>
      <c r="F42" t="n">
        <v>11.347162</v>
      </c>
      <c r="G42" t="n">
        <v>28.720073</v>
      </c>
      <c r="H42" t="n">
        <v>6.834649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38.347162</v>
      </c>
      <c r="Q42" s="9" t="n">
        <v>-0.000539</v>
      </c>
      <c r="R42" s="9" t="n">
        <v>0.787585</v>
      </c>
      <c r="S42" s="9" t="n">
        <v>11.347162</v>
      </c>
      <c r="T42" s="9" t="n">
        <v>28.720073</v>
      </c>
      <c r="U42" s="9" t="n">
        <v>6.834649</v>
      </c>
    </row>
    <row r="43">
      <c r="A43" s="14" t="n">
        <v>33</v>
      </c>
      <c r="B43" s="14" t="n">
        <v>3700000000</v>
      </c>
      <c r="C43" s="14" t="n">
        <v>38.577378</v>
      </c>
      <c r="D43" s="14" t="n">
        <v>-0.000326</v>
      </c>
      <c r="E43" s="14" t="n">
        <v>0.782539</v>
      </c>
      <c r="F43" t="n">
        <v>11.577378</v>
      </c>
      <c r="G43" t="n">
        <v>30.603367</v>
      </c>
      <c r="H43" t="n">
        <v>7.206722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38.577378</v>
      </c>
      <c r="Q43" s="9" t="n">
        <v>-0.000326</v>
      </c>
      <c r="R43" s="9" t="n">
        <v>0.782539</v>
      </c>
      <c r="S43" s="9" t="n">
        <v>11.577378</v>
      </c>
      <c r="T43" s="9" t="n">
        <v>30.603367</v>
      </c>
      <c r="U43" s="9" t="n">
        <v>7.206722</v>
      </c>
    </row>
    <row r="44">
      <c r="A44" s="14" t="n">
        <v>34</v>
      </c>
      <c r="B44" s="14" t="n">
        <v>3800000000</v>
      </c>
      <c r="C44" s="14" t="n">
        <v>38.630378</v>
      </c>
      <c r="D44" s="14" t="n">
        <v>-0.000326</v>
      </c>
      <c r="E44" s="14" t="n">
        <v>0.787294</v>
      </c>
      <c r="F44" t="n">
        <v>11.630378</v>
      </c>
      <c r="G44" t="n">
        <v>30.81997</v>
      </c>
      <c r="H44" t="n">
        <v>7.29521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38.630378</v>
      </c>
      <c r="Q44" s="9" t="n">
        <v>-0.000326</v>
      </c>
      <c r="R44" s="9" t="n">
        <v>0.787294</v>
      </c>
      <c r="S44" s="9" t="n">
        <v>11.630378</v>
      </c>
      <c r="T44" s="9" t="n">
        <v>30.81997</v>
      </c>
      <c r="U44" s="9" t="n">
        <v>7.29521</v>
      </c>
    </row>
    <row r="45">
      <c r="A45" s="14" t="n">
        <v>35</v>
      </c>
      <c r="B45" s="14" t="n">
        <v>3900000000</v>
      </c>
      <c r="C45" s="14" t="n">
        <v>38.710549</v>
      </c>
      <c r="D45" s="14" t="n">
        <v>-0.000189</v>
      </c>
      <c r="E45" s="14" t="n">
        <v>0.7706769999999999</v>
      </c>
      <c r="F45" t="n">
        <v>11.710549</v>
      </c>
      <c r="G45" t="n">
        <v>32.114346</v>
      </c>
      <c r="H45" t="n">
        <v>7.43113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38.710549</v>
      </c>
      <c r="Q45" s="9" t="n">
        <v>-0.000189</v>
      </c>
      <c r="R45" s="9" t="n">
        <v>0.7706769999999999</v>
      </c>
      <c r="S45" s="9" t="n">
        <v>11.710549</v>
      </c>
      <c r="T45" s="9" t="n">
        <v>32.114346</v>
      </c>
      <c r="U45" s="9" t="n">
        <v>7.43113</v>
      </c>
    </row>
    <row r="46">
      <c r="A46" s="14" t="n">
        <v>36</v>
      </c>
      <c r="B46" s="14" t="n">
        <v>4000000000</v>
      </c>
      <c r="C46" s="14" t="n">
        <v>38.538975</v>
      </c>
      <c r="D46" s="14" t="n">
        <v>-0.000503</v>
      </c>
      <c r="E46" s="14" t="n">
        <v>0.7751169999999999</v>
      </c>
      <c r="F46" t="n">
        <v>11.538975</v>
      </c>
      <c r="G46" t="n">
        <v>30.604073</v>
      </c>
      <c r="H46" t="n">
        <v>7.143277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38.538975</v>
      </c>
      <c r="Q46" s="9" t="n">
        <v>-0.000503</v>
      </c>
      <c r="R46" s="9" t="n">
        <v>0.7751169999999999</v>
      </c>
      <c r="S46" s="9" t="n">
        <v>11.538975</v>
      </c>
      <c r="T46" s="9" t="n">
        <v>30.604073</v>
      </c>
      <c r="U46" s="9" t="n">
        <v>7.143277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39.425985</v>
      </c>
      <c r="D11" s="14" t="n">
        <v>-0.000518</v>
      </c>
      <c r="E11" s="14" t="n">
        <v>0.523108</v>
      </c>
      <c r="F11" t="n">
        <v>12.425985</v>
      </c>
      <c r="G11" t="n">
        <v>56.398641</v>
      </c>
      <c r="H11" t="n">
        <v>8.761903999999999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39.425985</v>
      </c>
      <c r="Q11" s="9" t="n">
        <v>-0.000518</v>
      </c>
      <c r="R11" s="9" t="n">
        <v>0.523108</v>
      </c>
      <c r="S11" s="9" t="n">
        <v>12.425985</v>
      </c>
      <c r="T11" s="9" t="n">
        <v>56.398641</v>
      </c>
      <c r="U11" s="9" t="n">
        <v>8.761903999999999</v>
      </c>
    </row>
    <row r="12">
      <c r="A12" s="14" t="n">
        <v>2</v>
      </c>
      <c r="B12" s="14" t="n">
        <v>600000000</v>
      </c>
      <c r="C12" s="14" t="n">
        <v>39.410167</v>
      </c>
      <c r="D12" s="14" t="n">
        <v>-0.000429</v>
      </c>
      <c r="E12" s="14" t="n">
        <v>0.496371</v>
      </c>
      <c r="F12" t="n">
        <v>12.410167</v>
      </c>
      <c r="G12" t="n">
        <v>59.207319</v>
      </c>
      <c r="H12" t="n">
        <v>8.730048999999999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39.410167</v>
      </c>
      <c r="Q12" s="9" t="n">
        <v>-0.000429</v>
      </c>
      <c r="R12" s="9" t="n">
        <v>0.496371</v>
      </c>
      <c r="S12" s="9" t="n">
        <v>12.410167</v>
      </c>
      <c r="T12" s="9" t="n">
        <v>59.207319</v>
      </c>
      <c r="U12" s="9" t="n">
        <v>8.730048999999999</v>
      </c>
    </row>
    <row r="13">
      <c r="A13" s="14" t="n">
        <v>3</v>
      </c>
      <c r="B13" s="14" t="n">
        <v>700000000</v>
      </c>
      <c r="C13" s="14" t="n">
        <v>39.335749</v>
      </c>
      <c r="D13" s="14" t="n">
        <v>-0.000406</v>
      </c>
      <c r="E13" s="14" t="n">
        <v>0.502701</v>
      </c>
      <c r="F13" t="n">
        <v>12.335749</v>
      </c>
      <c r="G13" t="n">
        <v>57.408028</v>
      </c>
      <c r="H13" t="n">
        <v>8.581732000000001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39.335749</v>
      </c>
      <c r="Q13" s="9" t="n">
        <v>-0.000406</v>
      </c>
      <c r="R13" s="9" t="n">
        <v>0.502701</v>
      </c>
      <c r="S13" s="9" t="n">
        <v>12.335749</v>
      </c>
      <c r="T13" s="9" t="n">
        <v>57.408028</v>
      </c>
      <c r="U13" s="9" t="n">
        <v>8.581732000000001</v>
      </c>
    </row>
    <row r="14">
      <c r="A14" s="14" t="n">
        <v>4</v>
      </c>
      <c r="B14" s="14" t="n">
        <v>800000000</v>
      </c>
      <c r="C14" s="14" t="n">
        <v>39.651158</v>
      </c>
      <c r="D14" s="14" t="n">
        <v>-4.7e-05</v>
      </c>
      <c r="E14" s="14" t="n">
        <v>0.53979</v>
      </c>
      <c r="F14" t="n">
        <v>12.651158</v>
      </c>
      <c r="G14" t="n">
        <v>57.740632</v>
      </c>
      <c r="H14" t="n">
        <v>9.228175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39.651158</v>
      </c>
      <c r="Q14" s="9" t="n">
        <v>-4.7e-05</v>
      </c>
      <c r="R14" s="9" t="n">
        <v>0.53979</v>
      </c>
      <c r="S14" s="9" t="n">
        <v>12.651158</v>
      </c>
      <c r="T14" s="9" t="n">
        <v>57.740632</v>
      </c>
      <c r="U14" s="9" t="n">
        <v>9.228175</v>
      </c>
    </row>
    <row r="15">
      <c r="A15" s="14" t="n">
        <v>5</v>
      </c>
      <c r="B15" s="14" t="n">
        <v>900000000</v>
      </c>
      <c r="C15" s="14" t="n">
        <v>39.827006</v>
      </c>
      <c r="D15" s="14" t="n">
        <v>-0.000452</v>
      </c>
      <c r="E15" s="14" t="n">
        <v>0.549689</v>
      </c>
      <c r="F15" t="n">
        <v>12.827006</v>
      </c>
      <c r="G15" t="n">
        <v>59.17832</v>
      </c>
      <c r="H15" t="n">
        <v>9.609495000000001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39.827006</v>
      </c>
      <c r="Q15" s="9" t="n">
        <v>-0.000452</v>
      </c>
      <c r="R15" s="9" t="n">
        <v>0.549689</v>
      </c>
      <c r="S15" s="9" t="n">
        <v>12.827006</v>
      </c>
      <c r="T15" s="9" t="n">
        <v>59.17832</v>
      </c>
      <c r="U15" s="9" t="n">
        <v>9.609495000000001</v>
      </c>
    </row>
    <row r="16">
      <c r="A16" s="14" t="n">
        <v>6</v>
      </c>
      <c r="B16" s="14" t="n">
        <v>1000000000</v>
      </c>
      <c r="C16" s="14" t="n">
        <v>39.823472</v>
      </c>
      <c r="D16" s="14" t="n">
        <v>-0.000347</v>
      </c>
      <c r="E16" s="14" t="n">
        <v>0.5725170000000001</v>
      </c>
      <c r="F16" t="n">
        <v>12.823472</v>
      </c>
      <c r="G16" t="n">
        <v>56.769953</v>
      </c>
      <c r="H16" t="n">
        <v>9.601679000000001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39.823472</v>
      </c>
      <c r="Q16" s="9" t="n">
        <v>-0.000347</v>
      </c>
      <c r="R16" s="9" t="n">
        <v>0.5725170000000001</v>
      </c>
      <c r="S16" s="9" t="n">
        <v>12.823472</v>
      </c>
      <c r="T16" s="9" t="n">
        <v>56.769953</v>
      </c>
      <c r="U16" s="9" t="n">
        <v>9.601679000000001</v>
      </c>
    </row>
    <row r="17">
      <c r="A17" s="14" t="n">
        <v>7</v>
      </c>
      <c r="B17" s="14" t="n">
        <v>1100000000</v>
      </c>
      <c r="C17" s="14" t="n">
        <v>39.743257</v>
      </c>
      <c r="D17" s="14" t="n">
        <v>-0.000505</v>
      </c>
      <c r="E17" s="14" t="n">
        <v>0.571197</v>
      </c>
      <c r="F17" t="n">
        <v>12.743257</v>
      </c>
      <c r="G17" t="n">
        <v>55.802427</v>
      </c>
      <c r="H17" t="n">
        <v>9.425962999999999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39.743257</v>
      </c>
      <c r="Q17" s="9" t="n">
        <v>-0.000505</v>
      </c>
      <c r="R17" s="9" t="n">
        <v>0.571197</v>
      </c>
      <c r="S17" s="9" t="n">
        <v>12.743257</v>
      </c>
      <c r="T17" s="9" t="n">
        <v>55.802427</v>
      </c>
      <c r="U17" s="9" t="n">
        <v>9.425962999999999</v>
      </c>
    </row>
    <row r="18">
      <c r="A18" s="14" t="n">
        <v>8</v>
      </c>
      <c r="B18" s="14" t="n">
        <v>1200000000</v>
      </c>
      <c r="C18" s="14" t="n">
        <v>39.363374</v>
      </c>
      <c r="D18" s="14" t="n">
        <v>-9.500000000000001e-05</v>
      </c>
      <c r="E18" s="14" t="n">
        <v>0.587875</v>
      </c>
      <c r="F18" t="n">
        <v>12.363374</v>
      </c>
      <c r="G18" t="n">
        <v>49.42317</v>
      </c>
      <c r="H18" t="n">
        <v>8.636492000000001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39.363374</v>
      </c>
      <c r="Q18" s="9" t="n">
        <v>-9.500000000000001e-05</v>
      </c>
      <c r="R18" s="9" t="n">
        <v>0.587875</v>
      </c>
      <c r="S18" s="9" t="n">
        <v>12.363374</v>
      </c>
      <c r="T18" s="9" t="n">
        <v>49.42317</v>
      </c>
      <c r="U18" s="9" t="n">
        <v>8.636492000000001</v>
      </c>
    </row>
    <row r="19">
      <c r="A19" s="14" t="n">
        <v>9</v>
      </c>
      <c r="B19" s="14" t="n">
        <v>1300000000</v>
      </c>
      <c r="C19" s="14" t="n">
        <v>39.388161</v>
      </c>
      <c r="D19" s="14" t="n">
        <v>-0.000648</v>
      </c>
      <c r="E19" s="14" t="n">
        <v>0.627261</v>
      </c>
      <c r="F19" t="n">
        <v>12.388161</v>
      </c>
      <c r="G19" t="n">
        <v>46.601323</v>
      </c>
      <c r="H19" t="n">
        <v>8.685924999999999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39.388161</v>
      </c>
      <c r="Q19" s="9" t="n">
        <v>-0.000648</v>
      </c>
      <c r="R19" s="9" t="n">
        <v>0.627261</v>
      </c>
      <c r="S19" s="9" t="n">
        <v>12.388161</v>
      </c>
      <c r="T19" s="9" t="n">
        <v>46.601323</v>
      </c>
      <c r="U19" s="9" t="n">
        <v>8.685924999999999</v>
      </c>
    </row>
    <row r="20">
      <c r="A20" s="14" t="n">
        <v>10</v>
      </c>
      <c r="B20" s="14" t="n">
        <v>1400000000</v>
      </c>
      <c r="C20" s="14" t="n">
        <v>39.318432</v>
      </c>
      <c r="D20" s="14" t="n">
        <v>-0.00018</v>
      </c>
      <c r="E20" s="14" t="n">
        <v>0.638298</v>
      </c>
      <c r="F20" t="n">
        <v>12.318432</v>
      </c>
      <c r="G20" t="n">
        <v>45.021489</v>
      </c>
      <c r="H20" t="n">
        <v>8.547580999999999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39.318432</v>
      </c>
      <c r="Q20" s="9" t="n">
        <v>-0.00018</v>
      </c>
      <c r="R20" s="9" t="n">
        <v>0.638298</v>
      </c>
      <c r="S20" s="9" t="n">
        <v>12.318432</v>
      </c>
      <c r="T20" s="9" t="n">
        <v>45.021489</v>
      </c>
      <c r="U20" s="9" t="n">
        <v>8.547580999999999</v>
      </c>
    </row>
    <row r="21">
      <c r="A21" s="14" t="n">
        <v>11</v>
      </c>
      <c r="B21" s="14" t="n">
        <v>1500000000</v>
      </c>
      <c r="C21" s="14" t="n">
        <v>39.274719</v>
      </c>
      <c r="D21" s="14" t="n">
        <v>-0.000392</v>
      </c>
      <c r="E21" s="14" t="n">
        <v>0.659344</v>
      </c>
      <c r="F21" t="n">
        <v>12.274719</v>
      </c>
      <c r="G21" t="n">
        <v>43.120761</v>
      </c>
      <c r="H21" t="n">
        <v>8.461978999999999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39.274719</v>
      </c>
      <c r="Q21" s="9" t="n">
        <v>-0.000392</v>
      </c>
      <c r="R21" s="9" t="n">
        <v>0.659344</v>
      </c>
      <c r="S21" s="9" t="n">
        <v>12.274719</v>
      </c>
      <c r="T21" s="9" t="n">
        <v>43.120761</v>
      </c>
      <c r="U21" s="9" t="n">
        <v>8.461978999999999</v>
      </c>
    </row>
    <row r="22">
      <c r="A22" s="14" t="n">
        <v>12</v>
      </c>
      <c r="B22" s="14" t="n">
        <v>1600000000</v>
      </c>
      <c r="C22" s="14" t="n">
        <v>39.156263</v>
      </c>
      <c r="D22" s="14" t="n">
        <v>-8.6e-05</v>
      </c>
      <c r="E22" s="14" t="n">
        <v>0.680548</v>
      </c>
      <c r="F22" t="n">
        <v>12.156263</v>
      </c>
      <c r="G22" t="n">
        <v>40.582365</v>
      </c>
      <c r="H22" t="n">
        <v>8.234292999999999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39.156263</v>
      </c>
      <c r="Q22" s="9" t="n">
        <v>-8.6e-05</v>
      </c>
      <c r="R22" s="9" t="n">
        <v>0.680548</v>
      </c>
      <c r="S22" s="9" t="n">
        <v>12.156263</v>
      </c>
      <c r="T22" s="9" t="n">
        <v>40.582365</v>
      </c>
      <c r="U22" s="9" t="n">
        <v>8.234292999999999</v>
      </c>
    </row>
    <row r="23">
      <c r="A23" s="14" t="n">
        <v>13</v>
      </c>
      <c r="B23" s="14" t="n">
        <v>1700000000</v>
      </c>
      <c r="C23" s="14" t="n">
        <v>39.220039</v>
      </c>
      <c r="D23" s="14" t="n">
        <v>-0.000433</v>
      </c>
      <c r="E23" s="14" t="n">
        <v>0.668506</v>
      </c>
      <c r="F23" t="n">
        <v>12.220039</v>
      </c>
      <c r="G23" t="n">
        <v>41.964142</v>
      </c>
      <c r="H23" t="n">
        <v>8.356104999999999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39.220039</v>
      </c>
      <c r="Q23" s="9" t="n">
        <v>-0.000433</v>
      </c>
      <c r="R23" s="9" t="n">
        <v>0.668506</v>
      </c>
      <c r="S23" s="9" t="n">
        <v>12.220039</v>
      </c>
      <c r="T23" s="9" t="n">
        <v>41.964142</v>
      </c>
      <c r="U23" s="9" t="n">
        <v>8.356104999999999</v>
      </c>
    </row>
    <row r="24">
      <c r="A24" s="14" t="n">
        <v>14</v>
      </c>
      <c r="B24" s="14" t="n">
        <v>1800000000</v>
      </c>
      <c r="C24" s="14" t="n">
        <v>39.539638</v>
      </c>
      <c r="D24" s="14" t="n">
        <v>-1.1e-05</v>
      </c>
      <c r="E24" s="14" t="n">
        <v>0.6490860000000001</v>
      </c>
      <c r="F24" t="n">
        <v>12.539638</v>
      </c>
      <c r="G24" t="n">
        <v>46.730737</v>
      </c>
      <c r="H24" t="n">
        <v>8.994225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39.539638</v>
      </c>
      <c r="Q24" s="9" t="n">
        <v>-1.1e-05</v>
      </c>
      <c r="R24" s="9" t="n">
        <v>0.6490860000000001</v>
      </c>
      <c r="S24" s="9" t="n">
        <v>12.539638</v>
      </c>
      <c r="T24" s="9" t="n">
        <v>46.730737</v>
      </c>
      <c r="U24" s="9" t="n">
        <v>8.994225</v>
      </c>
    </row>
    <row r="25">
      <c r="A25" s="14" t="n">
        <v>15</v>
      </c>
      <c r="B25" s="14" t="n">
        <v>1900000000</v>
      </c>
      <c r="C25" s="14" t="n">
        <v>39.584804</v>
      </c>
      <c r="D25" s="14" t="n">
        <v>-1.1e-05</v>
      </c>
      <c r="E25" s="14" t="n">
        <v>0.611028</v>
      </c>
      <c r="F25" t="n">
        <v>12.584804</v>
      </c>
      <c r="G25" t="n">
        <v>50.190942</v>
      </c>
      <c r="H25" t="n">
        <v>9.088252000000001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39.584804</v>
      </c>
      <c r="Q25" s="9" t="n">
        <v>-1.1e-05</v>
      </c>
      <c r="R25" s="9" t="n">
        <v>0.611028</v>
      </c>
      <c r="S25" s="9" t="n">
        <v>12.584804</v>
      </c>
      <c r="T25" s="9" t="n">
        <v>50.190942</v>
      </c>
      <c r="U25" s="9" t="n">
        <v>9.088252000000001</v>
      </c>
    </row>
    <row r="26">
      <c r="A26" s="14" t="n">
        <v>16</v>
      </c>
      <c r="B26" s="14" t="n">
        <v>2000000000</v>
      </c>
      <c r="C26" s="14" t="n">
        <v>39.821496</v>
      </c>
      <c r="D26" s="14" t="n">
        <v>-3.3e-05</v>
      </c>
      <c r="E26" s="14" t="n">
        <v>0.614694</v>
      </c>
      <c r="F26" t="n">
        <v>12.821496</v>
      </c>
      <c r="G26" t="n">
        <v>52.849315</v>
      </c>
      <c r="H26" t="n">
        <v>9.597310999999999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39.821496</v>
      </c>
      <c r="Q26" s="9" t="n">
        <v>-3.3e-05</v>
      </c>
      <c r="R26" s="9" t="n">
        <v>0.614694</v>
      </c>
      <c r="S26" s="9" t="n">
        <v>12.821496</v>
      </c>
      <c r="T26" s="9" t="n">
        <v>52.849315</v>
      </c>
      <c r="U26" s="9" t="n">
        <v>9.597310999999999</v>
      </c>
    </row>
    <row r="27">
      <c r="A27" s="14" t="n">
        <v>17</v>
      </c>
      <c r="B27" s="14" t="n">
        <v>2100000000</v>
      </c>
      <c r="C27" s="14" t="n">
        <v>40.050734</v>
      </c>
      <c r="D27" s="14" t="n">
        <v>-0.000292</v>
      </c>
      <c r="E27" s="14" t="n">
        <v>0.622039</v>
      </c>
      <c r="F27" t="n">
        <v>13.050734</v>
      </c>
      <c r="G27" t="n">
        <v>55.211997</v>
      </c>
      <c r="H27" t="n">
        <v>10.117505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40.050734</v>
      </c>
      <c r="Q27" s="9" t="n">
        <v>-0.000292</v>
      </c>
      <c r="R27" s="9" t="n">
        <v>0.622039</v>
      </c>
      <c r="S27" s="9" t="n">
        <v>13.050734</v>
      </c>
      <c r="T27" s="9" t="n">
        <v>55.211997</v>
      </c>
      <c r="U27" s="9" t="n">
        <v>10.117505</v>
      </c>
    </row>
    <row r="28">
      <c r="A28" s="14" t="n">
        <v>18</v>
      </c>
      <c r="B28" s="14" t="n">
        <v>2200000000</v>
      </c>
      <c r="C28" s="14" t="n">
        <v>39.836662</v>
      </c>
      <c r="D28" s="14" t="n">
        <v>-0.000315</v>
      </c>
      <c r="E28" s="14" t="n">
        <v>0.61003</v>
      </c>
      <c r="F28" t="n">
        <v>12.836662</v>
      </c>
      <c r="G28" t="n">
        <v>53.449919</v>
      </c>
      <c r="H28" t="n">
        <v>9.630886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39.836662</v>
      </c>
      <c r="Q28" s="9" t="n">
        <v>-0.000315</v>
      </c>
      <c r="R28" s="9" t="n">
        <v>0.61003</v>
      </c>
      <c r="S28" s="9" t="n">
        <v>12.836662</v>
      </c>
      <c r="T28" s="9" t="n">
        <v>53.449919</v>
      </c>
      <c r="U28" s="9" t="n">
        <v>9.630886</v>
      </c>
    </row>
    <row r="29">
      <c r="A29" s="14" t="n">
        <v>19</v>
      </c>
      <c r="B29" s="14" t="n">
        <v>2300000000</v>
      </c>
      <c r="C29" s="14" t="n">
        <v>40.070009</v>
      </c>
      <c r="D29" s="14" t="n">
        <v>-0.00038</v>
      </c>
      <c r="E29" s="14" t="n">
        <v>0.658034</v>
      </c>
      <c r="F29" t="n">
        <v>13.070009</v>
      </c>
      <c r="G29" t="n">
        <v>52.436091</v>
      </c>
      <c r="H29" t="n">
        <v>10.162508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40.070009</v>
      </c>
      <c r="Q29" s="9" t="n">
        <v>-0.00038</v>
      </c>
      <c r="R29" s="9" t="n">
        <v>0.658034</v>
      </c>
      <c r="S29" s="9" t="n">
        <v>13.070009</v>
      </c>
      <c r="T29" s="9" t="n">
        <v>52.436091</v>
      </c>
      <c r="U29" s="9" t="n">
        <v>10.162508</v>
      </c>
    </row>
    <row r="30">
      <c r="A30" s="14" t="n">
        <v>20</v>
      </c>
      <c r="B30" s="14" t="n">
        <v>2400000000</v>
      </c>
      <c r="C30" s="14" t="n">
        <v>39.938453</v>
      </c>
      <c r="D30" s="14" t="n">
        <v>-1.1e-05</v>
      </c>
      <c r="E30" s="14" t="n">
        <v>0.6613599999999999</v>
      </c>
      <c r="F30" t="n">
        <v>12.938453</v>
      </c>
      <c r="G30" t="n">
        <v>50.534868</v>
      </c>
      <c r="H30" t="n">
        <v>9.859280999999999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39.938453</v>
      </c>
      <c r="Q30" s="9" t="n">
        <v>-1.1e-05</v>
      </c>
      <c r="R30" s="9" t="n">
        <v>0.6613599999999999</v>
      </c>
      <c r="S30" s="9" t="n">
        <v>12.938453</v>
      </c>
      <c r="T30" s="9" t="n">
        <v>50.534868</v>
      </c>
      <c r="U30" s="9" t="n">
        <v>9.859280999999999</v>
      </c>
    </row>
    <row r="31">
      <c r="A31" s="14" t="n">
        <v>21</v>
      </c>
      <c r="B31" s="14" t="n">
        <v>2500000000</v>
      </c>
      <c r="C31" s="14" t="n">
        <v>39.760598</v>
      </c>
      <c r="D31" s="14" t="n">
        <v>-0.000395</v>
      </c>
      <c r="E31" s="14" t="n">
        <v>0.659385</v>
      </c>
      <c r="F31" t="n">
        <v>12.760598</v>
      </c>
      <c r="G31" t="n">
        <v>48.543538</v>
      </c>
      <c r="H31" t="n">
        <v>9.463673999999999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39.760598</v>
      </c>
      <c r="Q31" s="9" t="n">
        <v>-0.000395</v>
      </c>
      <c r="R31" s="9" t="n">
        <v>0.659385</v>
      </c>
      <c r="S31" s="9" t="n">
        <v>12.760598</v>
      </c>
      <c r="T31" s="9" t="n">
        <v>48.543538</v>
      </c>
      <c r="U31" s="9" t="n">
        <v>9.463673999999999</v>
      </c>
    </row>
    <row r="32">
      <c r="A32" s="14" t="n">
        <v>22</v>
      </c>
      <c r="B32" s="14" t="n">
        <v>2600000000</v>
      </c>
      <c r="C32" s="14" t="n">
        <v>39.731451</v>
      </c>
      <c r="D32" s="14" t="n">
        <v>-0.000354</v>
      </c>
      <c r="E32" s="14" t="n">
        <v>0.6588000000000001</v>
      </c>
      <c r="F32" t="n">
        <v>12.731451</v>
      </c>
      <c r="G32" t="n">
        <v>48.243502</v>
      </c>
      <c r="H32" t="n">
        <v>9.400373999999999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39.731451</v>
      </c>
      <c r="Q32" s="9" t="n">
        <v>-0.000354</v>
      </c>
      <c r="R32" s="9" t="n">
        <v>0.6588000000000001</v>
      </c>
      <c r="S32" s="9" t="n">
        <v>12.731451</v>
      </c>
      <c r="T32" s="9" t="n">
        <v>48.243502</v>
      </c>
      <c r="U32" s="9" t="n">
        <v>9.400373999999999</v>
      </c>
    </row>
    <row r="33">
      <c r="A33" s="14" t="n">
        <v>23</v>
      </c>
      <c r="B33" s="14" t="n">
        <v>2700000000</v>
      </c>
      <c r="C33" s="14" t="n">
        <v>39.740752</v>
      </c>
      <c r="D33" s="14" t="n">
        <v>-0.000254</v>
      </c>
      <c r="E33" s="14" t="n">
        <v>0.682569</v>
      </c>
      <c r="F33" t="n">
        <v>12.740752</v>
      </c>
      <c r="G33" t="n">
        <v>46.668977</v>
      </c>
      <c r="H33" t="n">
        <v>9.420526000000001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39.740752</v>
      </c>
      <c r="Q33" s="9" t="n">
        <v>-0.000254</v>
      </c>
      <c r="R33" s="9" t="n">
        <v>0.682569</v>
      </c>
      <c r="S33" s="9" t="n">
        <v>12.740752</v>
      </c>
      <c r="T33" s="9" t="n">
        <v>46.668977</v>
      </c>
      <c r="U33" s="9" t="n">
        <v>9.420526000000001</v>
      </c>
    </row>
    <row r="34">
      <c r="A34" s="14" t="n">
        <v>24</v>
      </c>
      <c r="B34" s="14" t="n">
        <v>2800000000</v>
      </c>
      <c r="C34" s="14" t="n">
        <v>39.439609</v>
      </c>
      <c r="D34" s="14" t="n">
        <v>-0.000554</v>
      </c>
      <c r="E34" s="14" t="n">
        <v>0.697059</v>
      </c>
      <c r="F34" t="n">
        <v>12.439609</v>
      </c>
      <c r="G34" t="n">
        <v>42.465357</v>
      </c>
      <c r="H34" t="n">
        <v>8.789434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39.439609</v>
      </c>
      <c r="Q34" s="9" t="n">
        <v>-0.000554</v>
      </c>
      <c r="R34" s="9" t="n">
        <v>0.697059</v>
      </c>
      <c r="S34" s="9" t="n">
        <v>12.439609</v>
      </c>
      <c r="T34" s="9" t="n">
        <v>42.465357</v>
      </c>
      <c r="U34" s="9" t="n">
        <v>8.789434</v>
      </c>
    </row>
    <row r="35">
      <c r="A35" s="14" t="n">
        <v>25</v>
      </c>
      <c r="B35" s="14" t="n">
        <v>2900000000</v>
      </c>
      <c r="C35" s="14" t="n">
        <v>39.154897</v>
      </c>
      <c r="D35" s="14" t="n">
        <v>-0.000205</v>
      </c>
      <c r="E35" s="14" t="n">
        <v>0.712819</v>
      </c>
      <c r="F35" t="n">
        <v>12.154897</v>
      </c>
      <c r="G35" t="n">
        <v>38.73212</v>
      </c>
      <c r="H35" t="n">
        <v>8.231702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39.154897</v>
      </c>
      <c r="Q35" s="9" t="n">
        <v>-0.000205</v>
      </c>
      <c r="R35" s="9" t="n">
        <v>0.712819</v>
      </c>
      <c r="S35" s="9" t="n">
        <v>12.154897</v>
      </c>
      <c r="T35" s="9" t="n">
        <v>38.73212</v>
      </c>
      <c r="U35" s="9" t="n">
        <v>8.231702</v>
      </c>
    </row>
    <row r="36">
      <c r="A36" s="14" t="n">
        <v>26</v>
      </c>
      <c r="B36" s="14" t="n">
        <v>3000000000</v>
      </c>
      <c r="C36" s="14" t="n">
        <v>39.212689</v>
      </c>
      <c r="D36" s="14" t="n">
        <v>-0.000196</v>
      </c>
      <c r="E36" s="14" t="n">
        <v>0.711946</v>
      </c>
      <c r="F36" t="n">
        <v>12.212689</v>
      </c>
      <c r="G36" t="n">
        <v>39.332798</v>
      </c>
      <c r="H36" t="n">
        <v>8.341975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39.212689</v>
      </c>
      <c r="Q36" s="9" t="n">
        <v>-0.000196</v>
      </c>
      <c r="R36" s="9" t="n">
        <v>0.711946</v>
      </c>
      <c r="S36" s="9" t="n">
        <v>12.212689</v>
      </c>
      <c r="T36" s="9" t="n">
        <v>39.332798</v>
      </c>
      <c r="U36" s="9" t="n">
        <v>8.341975</v>
      </c>
    </row>
    <row r="37">
      <c r="A37" s="14" t="n">
        <v>27</v>
      </c>
      <c r="B37" s="14" t="n">
        <v>3100000000</v>
      </c>
      <c r="C37" s="14" t="n">
        <v>38.988747</v>
      </c>
      <c r="D37" s="14" t="n">
        <v>-5.5e-05</v>
      </c>
      <c r="E37" s="14" t="n">
        <v>0.734216</v>
      </c>
      <c r="F37" t="n">
        <v>11.988747</v>
      </c>
      <c r="G37" t="n">
        <v>36.100434</v>
      </c>
      <c r="H37" t="n">
        <v>7.922727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38.988747</v>
      </c>
      <c r="Q37" s="9" t="n">
        <v>-5.5e-05</v>
      </c>
      <c r="R37" s="9" t="n">
        <v>0.734216</v>
      </c>
      <c r="S37" s="9" t="n">
        <v>11.988747</v>
      </c>
      <c r="T37" s="9" t="n">
        <v>36.100434</v>
      </c>
      <c r="U37" s="9" t="n">
        <v>7.922727</v>
      </c>
    </row>
    <row r="38">
      <c r="A38" s="14" t="n">
        <v>28</v>
      </c>
      <c r="B38" s="14" t="n">
        <v>3200000000</v>
      </c>
      <c r="C38" s="14" t="n">
        <v>39.000352</v>
      </c>
      <c r="D38" s="14" t="n">
        <v>-0.000398</v>
      </c>
      <c r="E38" s="14" t="n">
        <v>0.75504</v>
      </c>
      <c r="F38" t="n">
        <v>12.000352</v>
      </c>
      <c r="G38" t="n">
        <v>35.205014</v>
      </c>
      <c r="H38" t="n">
        <v>7.943926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39.000352</v>
      </c>
      <c r="Q38" s="9" t="n">
        <v>-0.000398</v>
      </c>
      <c r="R38" s="9" t="n">
        <v>0.75504</v>
      </c>
      <c r="S38" s="9" t="n">
        <v>12.000352</v>
      </c>
      <c r="T38" s="9" t="n">
        <v>35.205014</v>
      </c>
      <c r="U38" s="9" t="n">
        <v>7.943926</v>
      </c>
    </row>
    <row r="39">
      <c r="A39" s="14" t="n">
        <v>29</v>
      </c>
      <c r="B39" s="14" t="n">
        <v>3300000000</v>
      </c>
      <c r="C39" s="14" t="n">
        <v>38.868466</v>
      </c>
      <c r="D39" s="14" t="n">
        <v>-3.8e-05</v>
      </c>
      <c r="E39" s="14" t="n">
        <v>0.746677</v>
      </c>
      <c r="F39" t="n">
        <v>11.868466</v>
      </c>
      <c r="G39" t="n">
        <v>34.462824</v>
      </c>
      <c r="H39" t="n">
        <v>7.706311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38.868466</v>
      </c>
      <c r="Q39" s="9" t="n">
        <v>-3.8e-05</v>
      </c>
      <c r="R39" s="9" t="n">
        <v>0.746677</v>
      </c>
      <c r="S39" s="9" t="n">
        <v>11.868466</v>
      </c>
      <c r="T39" s="9" t="n">
        <v>34.462824</v>
      </c>
      <c r="U39" s="9" t="n">
        <v>7.706311</v>
      </c>
    </row>
    <row r="40">
      <c r="A40" s="14" t="n">
        <v>30</v>
      </c>
      <c r="B40" s="14" t="n">
        <v>3400000000</v>
      </c>
      <c r="C40" s="14" t="n">
        <v>38.575284</v>
      </c>
      <c r="D40" s="14" t="n">
        <v>-0.000158</v>
      </c>
      <c r="E40" s="14" t="n">
        <v>0.757677</v>
      </c>
      <c r="F40" t="n">
        <v>11.575284</v>
      </c>
      <c r="G40" t="n">
        <v>31.591216</v>
      </c>
      <c r="H40" t="n">
        <v>7.203249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38.575284</v>
      </c>
      <c r="Q40" s="9" t="n">
        <v>-0.000158</v>
      </c>
      <c r="R40" s="9" t="n">
        <v>0.757677</v>
      </c>
      <c r="S40" s="9" t="n">
        <v>11.575284</v>
      </c>
      <c r="T40" s="9" t="n">
        <v>31.591216</v>
      </c>
      <c r="U40" s="9" t="n">
        <v>7.203249</v>
      </c>
    </row>
    <row r="41">
      <c r="A41" s="14" t="n">
        <v>31</v>
      </c>
      <c r="B41" s="14" t="n">
        <v>3500000000</v>
      </c>
      <c r="C41" s="14" t="n">
        <v>38.442762</v>
      </c>
      <c r="D41" s="14" t="n">
        <v>-0.000376</v>
      </c>
      <c r="E41" s="14" t="n">
        <v>0.777452</v>
      </c>
      <c r="F41" t="n">
        <v>11.442762</v>
      </c>
      <c r="G41" t="n">
        <v>29.793214</v>
      </c>
      <c r="H41" t="n">
        <v>6.986766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38.442762</v>
      </c>
      <c r="Q41" s="9" t="n">
        <v>-0.000376</v>
      </c>
      <c r="R41" s="9" t="n">
        <v>0.777452</v>
      </c>
      <c r="S41" s="9" t="n">
        <v>11.442762</v>
      </c>
      <c r="T41" s="9" t="n">
        <v>29.793214</v>
      </c>
      <c r="U41" s="9" t="n">
        <v>6.986766</v>
      </c>
    </row>
    <row r="42">
      <c r="A42" s="14" t="n">
        <v>32</v>
      </c>
      <c r="B42" s="14" t="n">
        <v>3600000000</v>
      </c>
      <c r="C42" s="14" t="n">
        <v>38.461678</v>
      </c>
      <c r="D42" s="14" t="n">
        <v>-0.000105</v>
      </c>
      <c r="E42" s="14" t="n">
        <v>0.777901</v>
      </c>
      <c r="F42" t="n">
        <v>11.461678</v>
      </c>
      <c r="G42" t="n">
        <v>29.916035</v>
      </c>
      <c r="H42" t="n">
        <v>7.017263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38.461678</v>
      </c>
      <c r="Q42" s="9" t="n">
        <v>-0.000105</v>
      </c>
      <c r="R42" s="9" t="n">
        <v>0.777901</v>
      </c>
      <c r="S42" s="9" t="n">
        <v>11.461678</v>
      </c>
      <c r="T42" s="9" t="n">
        <v>29.916035</v>
      </c>
      <c r="U42" s="9" t="n">
        <v>7.017263</v>
      </c>
    </row>
    <row r="43">
      <c r="A43" s="14" t="n">
        <v>33</v>
      </c>
      <c r="B43" s="14" t="n">
        <v>3700000000</v>
      </c>
      <c r="C43" s="14" t="n">
        <v>38.699565</v>
      </c>
      <c r="D43" s="14" t="n">
        <v>-0.000451</v>
      </c>
      <c r="E43" s="14" t="n">
        <v>0.772544</v>
      </c>
      <c r="F43" t="n">
        <v>11.699565</v>
      </c>
      <c r="G43" t="n">
        <v>31.949972</v>
      </c>
      <c r="H43" t="n">
        <v>7.412359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38.699565</v>
      </c>
      <c r="Q43" s="9" t="n">
        <v>-0.000451</v>
      </c>
      <c r="R43" s="9" t="n">
        <v>0.772544</v>
      </c>
      <c r="S43" s="9" t="n">
        <v>11.699565</v>
      </c>
      <c r="T43" s="9" t="n">
        <v>31.949972</v>
      </c>
      <c r="U43" s="9" t="n">
        <v>7.412359</v>
      </c>
    </row>
    <row r="44">
      <c r="A44" s="14" t="n">
        <v>34</v>
      </c>
      <c r="B44" s="14" t="n">
        <v>3800000000</v>
      </c>
      <c r="C44" s="14" t="n">
        <v>38.779699</v>
      </c>
      <c r="D44" s="14" t="n">
        <v>-0.000162</v>
      </c>
      <c r="E44" s="14" t="n">
        <v>0.77929</v>
      </c>
      <c r="F44" t="n">
        <v>11.779699</v>
      </c>
      <c r="G44" t="n">
        <v>32.306031</v>
      </c>
      <c r="H44" t="n">
        <v>7.550399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38.779699</v>
      </c>
      <c r="Q44" s="9" t="n">
        <v>-0.000162</v>
      </c>
      <c r="R44" s="9" t="n">
        <v>0.77929</v>
      </c>
      <c r="S44" s="9" t="n">
        <v>11.779699</v>
      </c>
      <c r="T44" s="9" t="n">
        <v>32.306031</v>
      </c>
      <c r="U44" s="9" t="n">
        <v>7.550399</v>
      </c>
    </row>
    <row r="45">
      <c r="A45" s="14" t="n">
        <v>35</v>
      </c>
      <c r="B45" s="14" t="n">
        <v>3900000000</v>
      </c>
      <c r="C45" s="14" t="n">
        <v>38.840171</v>
      </c>
      <c r="D45" s="14" t="n">
        <v>2.5e-05</v>
      </c>
      <c r="E45" s="14" t="n">
        <v>0.761113</v>
      </c>
      <c r="F45" t="n">
        <v>11.840171</v>
      </c>
      <c r="G45" t="n">
        <v>33.574328</v>
      </c>
      <c r="H45" t="n">
        <v>7.656267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38.840171</v>
      </c>
      <c r="Q45" s="9" t="n">
        <v>2.5e-05</v>
      </c>
      <c r="R45" s="9" t="n">
        <v>0.761113</v>
      </c>
      <c r="S45" s="9" t="n">
        <v>11.840171</v>
      </c>
      <c r="T45" s="9" t="n">
        <v>33.574328</v>
      </c>
      <c r="U45" s="9" t="n">
        <v>7.656267</v>
      </c>
    </row>
    <row r="46">
      <c r="A46" s="14" t="n">
        <v>36</v>
      </c>
      <c r="B46" s="14" t="n">
        <v>4000000000</v>
      </c>
      <c r="C46" s="14" t="n">
        <v>38.673603</v>
      </c>
      <c r="D46" s="14" t="n">
        <v>0.000162</v>
      </c>
      <c r="E46" s="14" t="n">
        <v>0.76415</v>
      </c>
      <c r="F46" t="n">
        <v>11.673603</v>
      </c>
      <c r="G46" t="n">
        <v>32.094445</v>
      </c>
      <c r="H46" t="n">
        <v>7.368181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38.673603</v>
      </c>
      <c r="Q46" s="9" t="n">
        <v>0.000162</v>
      </c>
      <c r="R46" s="9" t="n">
        <v>0.76415</v>
      </c>
      <c r="S46" s="9" t="n">
        <v>11.673603</v>
      </c>
      <c r="T46" s="9" t="n">
        <v>32.094445</v>
      </c>
      <c r="U46" s="9" t="n">
        <v>7.368181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39.412809</v>
      </c>
      <c r="D11" s="14" t="n">
        <v>-0.000199</v>
      </c>
      <c r="E11" s="14" t="n">
        <v>0.520714</v>
      </c>
      <c r="F11" t="n">
        <v>12.412809</v>
      </c>
      <c r="G11" t="n">
        <v>56.475858</v>
      </c>
      <c r="H11" t="n">
        <v>8.735362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39.412809</v>
      </c>
      <c r="Q11" s="9" t="n">
        <v>-0.000199</v>
      </c>
      <c r="R11" s="9" t="n">
        <v>0.520714</v>
      </c>
      <c r="S11" s="9" t="n">
        <v>12.412809</v>
      </c>
      <c r="T11" s="9" t="n">
        <v>56.475858</v>
      </c>
      <c r="U11" s="9" t="n">
        <v>8.735362</v>
      </c>
    </row>
    <row r="12">
      <c r="A12" s="14" t="n">
        <v>2</v>
      </c>
      <c r="B12" s="14" t="n">
        <v>600000000</v>
      </c>
      <c r="C12" s="14" t="n">
        <v>39.370991</v>
      </c>
      <c r="D12" s="14" t="n">
        <v>0.000222</v>
      </c>
      <c r="E12" s="14" t="n">
        <v>0.493037</v>
      </c>
      <c r="F12" t="n">
        <v>12.370991</v>
      </c>
      <c r="G12" t="n">
        <v>59.039819</v>
      </c>
      <c r="H12" t="n">
        <v>8.651654000000001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39.370991</v>
      </c>
      <c r="Q12" s="9" t="n">
        <v>0.000222</v>
      </c>
      <c r="R12" s="9" t="n">
        <v>0.493037</v>
      </c>
      <c r="S12" s="9" t="n">
        <v>12.370991</v>
      </c>
      <c r="T12" s="9" t="n">
        <v>59.039819</v>
      </c>
      <c r="U12" s="9" t="n">
        <v>8.651654000000001</v>
      </c>
    </row>
    <row r="13">
      <c r="A13" s="14" t="n">
        <v>3</v>
      </c>
      <c r="B13" s="14" t="n">
        <v>700000000</v>
      </c>
      <c r="C13" s="14" t="n">
        <v>39.289434</v>
      </c>
      <c r="D13" s="14" t="n">
        <v>-0.000251</v>
      </c>
      <c r="E13" s="14" t="n">
        <v>0.499643</v>
      </c>
      <c r="F13" t="n">
        <v>12.289434</v>
      </c>
      <c r="G13" t="n">
        <v>57.108685</v>
      </c>
      <c r="H13" t="n">
        <v>8.490698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39.289434</v>
      </c>
      <c r="Q13" s="9" t="n">
        <v>-0.000251</v>
      </c>
      <c r="R13" s="9" t="n">
        <v>0.499643</v>
      </c>
      <c r="S13" s="9" t="n">
        <v>12.289434</v>
      </c>
      <c r="T13" s="9" t="n">
        <v>57.108685</v>
      </c>
      <c r="U13" s="9" t="n">
        <v>8.490698</v>
      </c>
    </row>
    <row r="14">
      <c r="A14" s="14" t="n">
        <v>4</v>
      </c>
      <c r="B14" s="14" t="n">
        <v>800000000</v>
      </c>
      <c r="C14" s="14" t="n">
        <v>39.622856</v>
      </c>
      <c r="D14" s="14" t="n">
        <v>0.000181</v>
      </c>
      <c r="E14" s="14" t="n">
        <v>0.539005</v>
      </c>
      <c r="F14" t="n">
        <v>12.622856</v>
      </c>
      <c r="G14" t="n">
        <v>57.427543</v>
      </c>
      <c r="H14" t="n">
        <v>9.168233000000001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39.622856</v>
      </c>
      <c r="Q14" s="9" t="n">
        <v>0.000181</v>
      </c>
      <c r="R14" s="9" t="n">
        <v>0.539005</v>
      </c>
      <c r="S14" s="9" t="n">
        <v>12.622856</v>
      </c>
      <c r="T14" s="9" t="n">
        <v>57.427543</v>
      </c>
      <c r="U14" s="9" t="n">
        <v>9.168233000000001</v>
      </c>
    </row>
    <row r="15">
      <c r="A15" s="14" t="n">
        <v>5</v>
      </c>
      <c r="B15" s="14" t="n">
        <v>900000000</v>
      </c>
      <c r="C15" s="14" t="n">
        <v>39.831936</v>
      </c>
      <c r="D15" s="14" t="n">
        <v>0.000107</v>
      </c>
      <c r="E15" s="14" t="n">
        <v>0.554466</v>
      </c>
      <c r="F15" t="n">
        <v>12.831936</v>
      </c>
      <c r="G15" t="n">
        <v>58.738721</v>
      </c>
      <c r="H15" t="n">
        <v>9.62041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39.831936</v>
      </c>
      <c r="Q15" s="9" t="n">
        <v>0.000107</v>
      </c>
      <c r="R15" s="9" t="n">
        <v>0.554466</v>
      </c>
      <c r="S15" s="9" t="n">
        <v>12.831936</v>
      </c>
      <c r="T15" s="9" t="n">
        <v>58.738721</v>
      </c>
      <c r="U15" s="9" t="n">
        <v>9.62041</v>
      </c>
    </row>
    <row r="16">
      <c r="A16" s="14" t="n">
        <v>6</v>
      </c>
      <c r="B16" s="14" t="n">
        <v>1000000000</v>
      </c>
      <c r="C16" s="14" t="n">
        <v>39.870154</v>
      </c>
      <c r="D16" s="14" t="n">
        <v>-0.000193</v>
      </c>
      <c r="E16" s="14" t="n">
        <v>0.581568</v>
      </c>
      <c r="F16" t="n">
        <v>12.870154</v>
      </c>
      <c r="G16" t="n">
        <v>56.523652</v>
      </c>
      <c r="H16" t="n">
        <v>9.705444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39.870154</v>
      </c>
      <c r="Q16" s="9" t="n">
        <v>-0.000193</v>
      </c>
      <c r="R16" s="9" t="n">
        <v>0.581568</v>
      </c>
      <c r="S16" s="9" t="n">
        <v>12.870154</v>
      </c>
      <c r="T16" s="9" t="n">
        <v>56.523652</v>
      </c>
      <c r="U16" s="9" t="n">
        <v>9.705444</v>
      </c>
    </row>
    <row r="17">
      <c r="A17" s="14" t="n">
        <v>7</v>
      </c>
      <c r="B17" s="14" t="n">
        <v>1100000000</v>
      </c>
      <c r="C17" s="14" t="n">
        <v>39.763154</v>
      </c>
      <c r="D17" s="14" t="n">
        <v>-0.000374</v>
      </c>
      <c r="E17" s="14" t="n">
        <v>0.580365</v>
      </c>
      <c r="F17" t="n">
        <v>12.763154</v>
      </c>
      <c r="G17" t="n">
        <v>55.187268</v>
      </c>
      <c r="H17" t="n">
        <v>9.469246999999999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39.763154</v>
      </c>
      <c r="Q17" s="9" t="n">
        <v>-0.000374</v>
      </c>
      <c r="R17" s="9" t="n">
        <v>0.580365</v>
      </c>
      <c r="S17" s="9" t="n">
        <v>12.763154</v>
      </c>
      <c r="T17" s="9" t="n">
        <v>55.187268</v>
      </c>
      <c r="U17" s="9" t="n">
        <v>9.469246999999999</v>
      </c>
    </row>
    <row r="18">
      <c r="A18" s="14" t="n">
        <v>8</v>
      </c>
      <c r="B18" s="14" t="n">
        <v>1200000000</v>
      </c>
      <c r="C18" s="14" t="n">
        <v>39.452258</v>
      </c>
      <c r="D18" s="14" t="n">
        <v>1.3e-05</v>
      </c>
      <c r="E18" s="14" t="n">
        <v>0.599819</v>
      </c>
      <c r="F18" t="n">
        <v>12.452258</v>
      </c>
      <c r="G18" t="n">
        <v>49.50237</v>
      </c>
      <c r="H18" t="n">
        <v>8.81507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39.452258</v>
      </c>
      <c r="Q18" s="9" t="n">
        <v>1.3e-05</v>
      </c>
      <c r="R18" s="9" t="n">
        <v>0.599819</v>
      </c>
      <c r="S18" s="9" t="n">
        <v>12.452258</v>
      </c>
      <c r="T18" s="9" t="n">
        <v>49.50237</v>
      </c>
      <c r="U18" s="9" t="n">
        <v>8.81507</v>
      </c>
    </row>
    <row r="19">
      <c r="A19" s="14" t="n">
        <v>9</v>
      </c>
      <c r="B19" s="14" t="n">
        <v>1300000000</v>
      </c>
      <c r="C19" s="14" t="n">
        <v>39.537249</v>
      </c>
      <c r="D19" s="14" t="n">
        <v>4.7e-05</v>
      </c>
      <c r="E19" s="14" t="n">
        <v>0.63931</v>
      </c>
      <c r="F19" t="n">
        <v>12.537249</v>
      </c>
      <c r="G19" t="n">
        <v>47.417747</v>
      </c>
      <c r="H19" t="n">
        <v>8.989281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39.537249</v>
      </c>
      <c r="Q19" s="9" t="n">
        <v>4.7e-05</v>
      </c>
      <c r="R19" s="9" t="n">
        <v>0.63931</v>
      </c>
      <c r="S19" s="9" t="n">
        <v>12.537249</v>
      </c>
      <c r="T19" s="9" t="n">
        <v>47.417747</v>
      </c>
      <c r="U19" s="9" t="n">
        <v>8.989281</v>
      </c>
    </row>
    <row r="20">
      <c r="A20" s="14" t="n">
        <v>10</v>
      </c>
      <c r="B20" s="14" t="n">
        <v>1400000000</v>
      </c>
      <c r="C20" s="14" t="n">
        <v>39.609636</v>
      </c>
      <c r="D20" s="14" t="n">
        <v>6e-05</v>
      </c>
      <c r="E20" s="14" t="n">
        <v>0.651847</v>
      </c>
      <c r="F20" t="n">
        <v>12.609636</v>
      </c>
      <c r="G20" t="n">
        <v>47.333543</v>
      </c>
      <c r="H20" t="n">
        <v>9.140366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39.609636</v>
      </c>
      <c r="Q20" s="9" t="n">
        <v>6e-05</v>
      </c>
      <c r="R20" s="9" t="n">
        <v>0.651847</v>
      </c>
      <c r="S20" s="9" t="n">
        <v>12.609636</v>
      </c>
      <c r="T20" s="9" t="n">
        <v>47.333543</v>
      </c>
      <c r="U20" s="9" t="n">
        <v>9.140366</v>
      </c>
    </row>
    <row r="21">
      <c r="A21" s="14" t="n">
        <v>11</v>
      </c>
      <c r="B21" s="14" t="n">
        <v>1500000000</v>
      </c>
      <c r="C21" s="14" t="n">
        <v>39.628758</v>
      </c>
      <c r="D21" s="14" t="n">
        <v>-0.000113</v>
      </c>
      <c r="E21" s="14" t="n">
        <v>0.676256</v>
      </c>
      <c r="F21" t="n">
        <v>12.628758</v>
      </c>
      <c r="G21" t="n">
        <v>45.838055</v>
      </c>
      <c r="H21" t="n">
        <v>9.1807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39.628758</v>
      </c>
      <c r="Q21" s="9" t="n">
        <v>-0.000113</v>
      </c>
      <c r="R21" s="9" t="n">
        <v>0.676256</v>
      </c>
      <c r="S21" s="9" t="n">
        <v>12.628758</v>
      </c>
      <c r="T21" s="9" t="n">
        <v>45.838055</v>
      </c>
      <c r="U21" s="9" t="n">
        <v>9.1807</v>
      </c>
    </row>
    <row r="22">
      <c r="A22" s="14" t="n">
        <v>12</v>
      </c>
      <c r="B22" s="14" t="n">
        <v>1600000000</v>
      </c>
      <c r="C22" s="14" t="n">
        <v>39.636651</v>
      </c>
      <c r="D22" s="14" t="n">
        <v>0.000213</v>
      </c>
      <c r="E22" s="14" t="n">
        <v>0.682018</v>
      </c>
      <c r="F22" t="n">
        <v>12.636651</v>
      </c>
      <c r="G22" t="n">
        <v>45.538217</v>
      </c>
      <c r="H22" t="n">
        <v>9.197400999999999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39.636651</v>
      </c>
      <c r="Q22" s="9" t="n">
        <v>0.000213</v>
      </c>
      <c r="R22" s="9" t="n">
        <v>0.682018</v>
      </c>
      <c r="S22" s="9" t="n">
        <v>12.636651</v>
      </c>
      <c r="T22" s="9" t="n">
        <v>45.538217</v>
      </c>
      <c r="U22" s="9" t="n">
        <v>9.197400999999999</v>
      </c>
    </row>
    <row r="23">
      <c r="A23" s="14" t="n">
        <v>13</v>
      </c>
      <c r="B23" s="14" t="n">
        <v>1700000000</v>
      </c>
      <c r="C23" s="14" t="n">
        <v>39.505603</v>
      </c>
      <c r="D23" s="14" t="n">
        <v>-0.000487</v>
      </c>
      <c r="E23" s="14" t="n">
        <v>0.676422</v>
      </c>
      <c r="F23" t="n">
        <v>12.505603</v>
      </c>
      <c r="G23" t="n">
        <v>44.471541</v>
      </c>
      <c r="H23" t="n">
        <v>8.924015000000001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39.505603</v>
      </c>
      <c r="Q23" s="9" t="n">
        <v>-0.000487</v>
      </c>
      <c r="R23" s="9" t="n">
        <v>0.676422</v>
      </c>
      <c r="S23" s="9" t="n">
        <v>12.505603</v>
      </c>
      <c r="T23" s="9" t="n">
        <v>44.471541</v>
      </c>
      <c r="U23" s="9" t="n">
        <v>8.924015000000001</v>
      </c>
    </row>
    <row r="24">
      <c r="A24" s="14" t="n">
        <v>14</v>
      </c>
      <c r="B24" s="14" t="n">
        <v>1800000000</v>
      </c>
      <c r="C24" s="14" t="n">
        <v>39.617169</v>
      </c>
      <c r="D24" s="14" t="n">
        <v>-0.000584</v>
      </c>
      <c r="E24" s="14" t="n">
        <v>0.664893</v>
      </c>
      <c r="F24" t="n">
        <v>12.617169</v>
      </c>
      <c r="G24" t="n">
        <v>46.490001</v>
      </c>
      <c r="H24" t="n">
        <v>9.156233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39.617169</v>
      </c>
      <c r="Q24" s="9" t="n">
        <v>-0.000584</v>
      </c>
      <c r="R24" s="9" t="n">
        <v>0.664893</v>
      </c>
      <c r="S24" s="9" t="n">
        <v>12.617169</v>
      </c>
      <c r="T24" s="9" t="n">
        <v>46.490001</v>
      </c>
      <c r="U24" s="9" t="n">
        <v>9.156233</v>
      </c>
    </row>
    <row r="25">
      <c r="A25" s="14" t="n">
        <v>15</v>
      </c>
      <c r="B25" s="14" t="n">
        <v>1900000000</v>
      </c>
      <c r="C25" s="14" t="n">
        <v>39.551486</v>
      </c>
      <c r="D25" s="14" t="n">
        <v>-0.000282</v>
      </c>
      <c r="E25" s="14" t="n">
        <v>0.625746</v>
      </c>
      <c r="F25" t="n">
        <v>12.551486</v>
      </c>
      <c r="G25" t="n">
        <v>48.614001</v>
      </c>
      <c r="H25" t="n">
        <v>9.018796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39.551486</v>
      </c>
      <c r="Q25" s="9" t="n">
        <v>-0.000282</v>
      </c>
      <c r="R25" s="9" t="n">
        <v>0.625746</v>
      </c>
      <c r="S25" s="9" t="n">
        <v>12.551486</v>
      </c>
      <c r="T25" s="9" t="n">
        <v>48.614001</v>
      </c>
      <c r="U25" s="9" t="n">
        <v>9.018796</v>
      </c>
    </row>
    <row r="26">
      <c r="A26" s="14" t="n">
        <v>16</v>
      </c>
      <c r="B26" s="14" t="n">
        <v>2000000000</v>
      </c>
      <c r="C26" s="14" t="n">
        <v>39.779205</v>
      </c>
      <c r="D26" s="14" t="n">
        <v>-7.7e-05</v>
      </c>
      <c r="E26" s="14" t="n">
        <v>0.6209170000000001</v>
      </c>
      <c r="F26" t="n">
        <v>12.779205</v>
      </c>
      <c r="G26" t="n">
        <v>51.784741</v>
      </c>
      <c r="H26" t="n">
        <v>9.504307000000001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39.779205</v>
      </c>
      <c r="Q26" s="9" t="n">
        <v>-7.7e-05</v>
      </c>
      <c r="R26" s="9" t="n">
        <v>0.6209170000000001</v>
      </c>
      <c r="S26" s="9" t="n">
        <v>12.779205</v>
      </c>
      <c r="T26" s="9" t="n">
        <v>51.784741</v>
      </c>
      <c r="U26" s="9" t="n">
        <v>9.504307000000001</v>
      </c>
    </row>
    <row r="27">
      <c r="A27" s="14" t="n">
        <v>17</v>
      </c>
      <c r="B27" s="14" t="n">
        <v>2100000000</v>
      </c>
      <c r="C27" s="14" t="n">
        <v>39.98477</v>
      </c>
      <c r="D27" s="14" t="n">
        <v>-0.000469</v>
      </c>
      <c r="E27" s="14" t="n">
        <v>0.622223</v>
      </c>
      <c r="F27" t="n">
        <v>12.98477</v>
      </c>
      <c r="G27" t="n">
        <v>54.320232</v>
      </c>
      <c r="H27" t="n">
        <v>9.964993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39.98477</v>
      </c>
      <c r="Q27" s="9" t="n">
        <v>-0.000469</v>
      </c>
      <c r="R27" s="9" t="n">
        <v>0.622223</v>
      </c>
      <c r="S27" s="9" t="n">
        <v>12.98477</v>
      </c>
      <c r="T27" s="9" t="n">
        <v>54.320232</v>
      </c>
      <c r="U27" s="9" t="n">
        <v>9.964993</v>
      </c>
    </row>
    <row r="28">
      <c r="A28" s="14" t="n">
        <v>18</v>
      </c>
      <c r="B28" s="14" t="n">
        <v>2200000000</v>
      </c>
      <c r="C28" s="14" t="n">
        <v>39.759803</v>
      </c>
      <c r="D28" s="14" t="n">
        <v>2.7e-05</v>
      </c>
      <c r="E28" s="14" t="n">
        <v>0.605758</v>
      </c>
      <c r="F28" t="n">
        <v>12.759803</v>
      </c>
      <c r="G28" t="n">
        <v>52.830875</v>
      </c>
      <c r="H28" t="n">
        <v>9.461943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39.759803</v>
      </c>
      <c r="Q28" s="9" t="n">
        <v>2.7e-05</v>
      </c>
      <c r="R28" s="9" t="n">
        <v>0.605758</v>
      </c>
      <c r="S28" s="9" t="n">
        <v>12.759803</v>
      </c>
      <c r="T28" s="9" t="n">
        <v>52.830875</v>
      </c>
      <c r="U28" s="9" t="n">
        <v>9.461943</v>
      </c>
    </row>
    <row r="29">
      <c r="A29" s="14" t="n">
        <v>19</v>
      </c>
      <c r="B29" s="14" t="n">
        <v>2300000000</v>
      </c>
      <c r="C29" s="14" t="n">
        <v>40.002271</v>
      </c>
      <c r="D29" s="14" t="n">
        <v>-0.000634</v>
      </c>
      <c r="E29" s="14" t="n">
        <v>0.648786</v>
      </c>
      <c r="F29" t="n">
        <v>13.002271</v>
      </c>
      <c r="G29" t="n">
        <v>52.317721</v>
      </c>
      <c r="H29" t="n">
        <v>10.00523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40.002271</v>
      </c>
      <c r="Q29" s="9" t="n">
        <v>-0.000634</v>
      </c>
      <c r="R29" s="9" t="n">
        <v>0.648786</v>
      </c>
      <c r="S29" s="9" t="n">
        <v>13.002271</v>
      </c>
      <c r="T29" s="9" t="n">
        <v>52.317721</v>
      </c>
      <c r="U29" s="9" t="n">
        <v>10.00523</v>
      </c>
    </row>
    <row r="30">
      <c r="A30" s="14" t="n">
        <v>20</v>
      </c>
      <c r="B30" s="14" t="n">
        <v>2400000000</v>
      </c>
      <c r="C30" s="14" t="n">
        <v>39.883179</v>
      </c>
      <c r="D30" s="14" t="n">
        <v>-7.3e-05</v>
      </c>
      <c r="E30" s="14" t="n">
        <v>0.65633</v>
      </c>
      <c r="F30" t="n">
        <v>12.883179</v>
      </c>
      <c r="G30" t="n">
        <v>50.243686</v>
      </c>
      <c r="H30" t="n">
        <v>9.734596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39.883179</v>
      </c>
      <c r="Q30" s="9" t="n">
        <v>-7.3e-05</v>
      </c>
      <c r="R30" s="9" t="n">
        <v>0.65633</v>
      </c>
      <c r="S30" s="9" t="n">
        <v>12.883179</v>
      </c>
      <c r="T30" s="9" t="n">
        <v>50.243686</v>
      </c>
      <c r="U30" s="9" t="n">
        <v>9.734596</v>
      </c>
    </row>
    <row r="31">
      <c r="A31" s="14" t="n">
        <v>21</v>
      </c>
      <c r="B31" s="14" t="n">
        <v>2500000000</v>
      </c>
      <c r="C31" s="14" t="n">
        <v>39.720194</v>
      </c>
      <c r="D31" s="14" t="n">
        <v>-9.3e-05</v>
      </c>
      <c r="E31" s="14" t="n">
        <v>0.656431</v>
      </c>
      <c r="F31" t="n">
        <v>12.720194</v>
      </c>
      <c r="G31" t="n">
        <v>48.28517</v>
      </c>
      <c r="H31" t="n">
        <v>9.376037999999999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39.720194</v>
      </c>
      <c r="Q31" s="9" t="n">
        <v>-9.3e-05</v>
      </c>
      <c r="R31" s="9" t="n">
        <v>0.656431</v>
      </c>
      <c r="S31" s="9" t="n">
        <v>12.720194</v>
      </c>
      <c r="T31" s="9" t="n">
        <v>48.28517</v>
      </c>
      <c r="U31" s="9" t="n">
        <v>9.376037999999999</v>
      </c>
    </row>
    <row r="32">
      <c r="A32" s="14" t="n">
        <v>22</v>
      </c>
      <c r="B32" s="14" t="n">
        <v>2600000000</v>
      </c>
      <c r="C32" s="14" t="n">
        <v>39.702694</v>
      </c>
      <c r="D32" s="14" t="n">
        <v>-0.000516</v>
      </c>
      <c r="E32" s="14" t="n">
        <v>0.656395</v>
      </c>
      <c r="F32" t="n">
        <v>12.702694</v>
      </c>
      <c r="G32" t="n">
        <v>48.082716</v>
      </c>
      <c r="H32" t="n">
        <v>9.338333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39.702694</v>
      </c>
      <c r="Q32" s="9" t="n">
        <v>-0.000516</v>
      </c>
      <c r="R32" s="9" t="n">
        <v>0.656395</v>
      </c>
      <c r="S32" s="9" t="n">
        <v>12.702694</v>
      </c>
      <c r="T32" s="9" t="n">
        <v>48.082716</v>
      </c>
      <c r="U32" s="9" t="n">
        <v>9.338333</v>
      </c>
    </row>
    <row r="33">
      <c r="A33" s="14" t="n">
        <v>23</v>
      </c>
      <c r="B33" s="14" t="n">
        <v>2700000000</v>
      </c>
      <c r="C33" s="14" t="n">
        <v>39.69521</v>
      </c>
      <c r="D33" s="14" t="n">
        <v>2e-05</v>
      </c>
      <c r="E33" s="14" t="n">
        <v>0.68218</v>
      </c>
      <c r="F33" t="n">
        <v>12.69521</v>
      </c>
      <c r="G33" t="n">
        <v>46.181118</v>
      </c>
      <c r="H33" t="n">
        <v>9.322255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39.69521</v>
      </c>
      <c r="Q33" s="9" t="n">
        <v>2e-05</v>
      </c>
      <c r="R33" s="9" t="n">
        <v>0.68218</v>
      </c>
      <c r="S33" s="9" t="n">
        <v>12.69521</v>
      </c>
      <c r="T33" s="9" t="n">
        <v>46.181118</v>
      </c>
      <c r="U33" s="9" t="n">
        <v>9.322255</v>
      </c>
    </row>
    <row r="34">
      <c r="A34" s="14" t="n">
        <v>24</v>
      </c>
      <c r="B34" s="14" t="n">
        <v>2800000000</v>
      </c>
      <c r="C34" s="14" t="n">
        <v>39.384078</v>
      </c>
      <c r="D34" s="14" t="n">
        <v>-8.3e-05</v>
      </c>
      <c r="E34" s="14" t="n">
        <v>0.699884</v>
      </c>
      <c r="F34" t="n">
        <v>12.384078</v>
      </c>
      <c r="G34" t="n">
        <v>41.724171</v>
      </c>
      <c r="H34" t="n">
        <v>8.677764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39.384078</v>
      </c>
      <c r="Q34" s="9" t="n">
        <v>-8.3e-05</v>
      </c>
      <c r="R34" s="9" t="n">
        <v>0.699884</v>
      </c>
      <c r="S34" s="9" t="n">
        <v>12.384078</v>
      </c>
      <c r="T34" s="9" t="n">
        <v>41.724171</v>
      </c>
      <c r="U34" s="9" t="n">
        <v>8.677764</v>
      </c>
    </row>
    <row r="35">
      <c r="A35" s="14" t="n">
        <v>25</v>
      </c>
      <c r="B35" s="14" t="n">
        <v>2900000000</v>
      </c>
      <c r="C35" s="14" t="n">
        <v>39.141204</v>
      </c>
      <c r="D35" s="14" t="n">
        <v>-3.6e-05</v>
      </c>
      <c r="E35" s="14" t="n">
        <v>0.710506</v>
      </c>
      <c r="F35" t="n">
        <v>12.141204</v>
      </c>
      <c r="G35" t="n">
        <v>38.727944</v>
      </c>
      <c r="H35" t="n">
        <v>8.20579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39.141204</v>
      </c>
      <c r="Q35" s="9" t="n">
        <v>-3.6e-05</v>
      </c>
      <c r="R35" s="9" t="n">
        <v>0.710506</v>
      </c>
      <c r="S35" s="9" t="n">
        <v>12.141204</v>
      </c>
      <c r="T35" s="9" t="n">
        <v>38.727944</v>
      </c>
      <c r="U35" s="9" t="n">
        <v>8.20579</v>
      </c>
    </row>
    <row r="36">
      <c r="A36" s="14" t="n">
        <v>26</v>
      </c>
      <c r="B36" s="14" t="n">
        <v>3000000000</v>
      </c>
      <c r="C36" s="14" t="n">
        <v>39.171373</v>
      </c>
      <c r="D36" s="14" t="n">
        <v>-5.9e-05</v>
      </c>
      <c r="E36" s="14" t="n">
        <v>0.712582</v>
      </c>
      <c r="F36" t="n">
        <v>12.171373</v>
      </c>
      <c r="G36" t="n">
        <v>38.901817</v>
      </c>
      <c r="H36" t="n">
        <v>8.262992000000001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39.171373</v>
      </c>
      <c r="Q36" s="9" t="n">
        <v>-5.9e-05</v>
      </c>
      <c r="R36" s="9" t="n">
        <v>0.712582</v>
      </c>
      <c r="S36" s="9" t="n">
        <v>12.171373</v>
      </c>
      <c r="T36" s="9" t="n">
        <v>38.901817</v>
      </c>
      <c r="U36" s="9" t="n">
        <v>8.262992000000001</v>
      </c>
    </row>
    <row r="37">
      <c r="A37" s="14" t="n">
        <v>27</v>
      </c>
      <c r="B37" s="14" t="n">
        <v>3100000000</v>
      </c>
      <c r="C37" s="14" t="n">
        <v>38.934078</v>
      </c>
      <c r="D37" s="14" t="n">
        <v>0.00016</v>
      </c>
      <c r="E37" s="14" t="n">
        <v>0.735704</v>
      </c>
      <c r="F37" t="n">
        <v>11.934078</v>
      </c>
      <c r="G37" t="n">
        <v>35.546306</v>
      </c>
      <c r="H37" t="n">
        <v>7.823622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38.934078</v>
      </c>
      <c r="Q37" s="9" t="n">
        <v>0.00016</v>
      </c>
      <c r="R37" s="9" t="n">
        <v>0.735704</v>
      </c>
      <c r="S37" s="9" t="n">
        <v>11.934078</v>
      </c>
      <c r="T37" s="9" t="n">
        <v>35.546306</v>
      </c>
      <c r="U37" s="9" t="n">
        <v>7.823622</v>
      </c>
    </row>
    <row r="38">
      <c r="A38" s="14" t="n">
        <v>28</v>
      </c>
      <c r="B38" s="14" t="n">
        <v>3200000000</v>
      </c>
      <c r="C38" s="14" t="n">
        <v>39.000764</v>
      </c>
      <c r="D38" s="14" t="n">
        <v>-0.000291</v>
      </c>
      <c r="E38" s="14" t="n">
        <v>0.761741</v>
      </c>
      <c r="F38" t="n">
        <v>12.000764</v>
      </c>
      <c r="G38" t="n">
        <v>34.898872</v>
      </c>
      <c r="H38" t="n">
        <v>7.944681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39.000764</v>
      </c>
      <c r="Q38" s="9" t="n">
        <v>-0.000291</v>
      </c>
      <c r="R38" s="9" t="n">
        <v>0.761741</v>
      </c>
      <c r="S38" s="9" t="n">
        <v>12.000764</v>
      </c>
      <c r="T38" s="9" t="n">
        <v>34.898872</v>
      </c>
      <c r="U38" s="9" t="n">
        <v>7.944681</v>
      </c>
    </row>
    <row r="39">
      <c r="A39" s="14" t="n">
        <v>29</v>
      </c>
      <c r="B39" s="14" t="n">
        <v>3300000000</v>
      </c>
      <c r="C39" s="14" t="n">
        <v>38.767864</v>
      </c>
      <c r="D39" s="14" t="n">
        <v>-2.1e-05</v>
      </c>
      <c r="E39" s="14" t="n">
        <v>0.743707</v>
      </c>
      <c r="F39" t="n">
        <v>11.767864</v>
      </c>
      <c r="G39" t="n">
        <v>33.753034</v>
      </c>
      <c r="H39" t="n">
        <v>7.529852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38.767864</v>
      </c>
      <c r="Q39" s="9" t="n">
        <v>-2.1e-05</v>
      </c>
      <c r="R39" s="9" t="n">
        <v>0.743707</v>
      </c>
      <c r="S39" s="9" t="n">
        <v>11.767864</v>
      </c>
      <c r="T39" s="9" t="n">
        <v>33.753034</v>
      </c>
      <c r="U39" s="9" t="n">
        <v>7.529852</v>
      </c>
    </row>
    <row r="40">
      <c r="A40" s="14" t="n">
        <v>30</v>
      </c>
      <c r="B40" s="14" t="n">
        <v>3400000000</v>
      </c>
      <c r="C40" s="14" t="n">
        <v>38.527498</v>
      </c>
      <c r="D40" s="14" t="n">
        <v>-0.000223</v>
      </c>
      <c r="E40" s="14" t="n">
        <v>0.762181</v>
      </c>
      <c r="F40" t="n">
        <v>11.527498</v>
      </c>
      <c r="G40" t="n">
        <v>31.035174</v>
      </c>
      <c r="H40" t="n">
        <v>7.124424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38.527498</v>
      </c>
      <c r="Q40" s="9" t="n">
        <v>-0.000223</v>
      </c>
      <c r="R40" s="9" t="n">
        <v>0.762181</v>
      </c>
      <c r="S40" s="9" t="n">
        <v>11.527498</v>
      </c>
      <c r="T40" s="9" t="n">
        <v>31.035174</v>
      </c>
      <c r="U40" s="9" t="n">
        <v>7.124424</v>
      </c>
    </row>
    <row r="41">
      <c r="A41" s="14" t="n">
        <v>31</v>
      </c>
      <c r="B41" s="14" t="n">
        <v>3500000000</v>
      </c>
      <c r="C41" s="14" t="n">
        <v>38.418197</v>
      </c>
      <c r="D41" s="14" t="n">
        <v>-0.000328</v>
      </c>
      <c r="E41" s="14" t="n">
        <v>0.781769</v>
      </c>
      <c r="F41" t="n">
        <v>11.418197</v>
      </c>
      <c r="G41" t="n">
        <v>29.448637</v>
      </c>
      <c r="H41" t="n">
        <v>6.947358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38.418197</v>
      </c>
      <c r="Q41" s="9" t="n">
        <v>-0.000328</v>
      </c>
      <c r="R41" s="9" t="n">
        <v>0.781769</v>
      </c>
      <c r="S41" s="9" t="n">
        <v>11.418197</v>
      </c>
      <c r="T41" s="9" t="n">
        <v>29.448637</v>
      </c>
      <c r="U41" s="9" t="n">
        <v>6.947358</v>
      </c>
    </row>
    <row r="42">
      <c r="A42" s="14" t="n">
        <v>32</v>
      </c>
      <c r="B42" s="14" t="n">
        <v>3600000000</v>
      </c>
      <c r="C42" s="14" t="n">
        <v>38.456708</v>
      </c>
      <c r="D42" s="14" t="n">
        <v>-0.000412</v>
      </c>
      <c r="E42" s="14" t="n">
        <v>0.782192</v>
      </c>
      <c r="F42" t="n">
        <v>11.456708</v>
      </c>
      <c r="G42" t="n">
        <v>29.715259</v>
      </c>
      <c r="H42" t="n">
        <v>7.009238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38.456708</v>
      </c>
      <c r="Q42" s="9" t="n">
        <v>-0.000412</v>
      </c>
      <c r="R42" s="9" t="n">
        <v>0.782192</v>
      </c>
      <c r="S42" s="9" t="n">
        <v>11.456708</v>
      </c>
      <c r="T42" s="9" t="n">
        <v>29.715259</v>
      </c>
      <c r="U42" s="9" t="n">
        <v>7.009238</v>
      </c>
    </row>
    <row r="43">
      <c r="A43" s="14" t="n">
        <v>33</v>
      </c>
      <c r="B43" s="14" t="n">
        <v>3700000000</v>
      </c>
      <c r="C43" s="14" t="n">
        <v>38.665943</v>
      </c>
      <c r="D43" s="14" t="n">
        <v>0.000111</v>
      </c>
      <c r="E43" s="14" t="n">
        <v>0.776875</v>
      </c>
      <c r="F43" t="n">
        <v>11.665943</v>
      </c>
      <c r="G43" t="n">
        <v>31.509056</v>
      </c>
      <c r="H43" t="n">
        <v>7.355198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38.665943</v>
      </c>
      <c r="Q43" s="9" t="n">
        <v>0.000111</v>
      </c>
      <c r="R43" s="9" t="n">
        <v>0.776875</v>
      </c>
      <c r="S43" s="9" t="n">
        <v>11.665943</v>
      </c>
      <c r="T43" s="9" t="n">
        <v>31.509056</v>
      </c>
      <c r="U43" s="9" t="n">
        <v>7.355198</v>
      </c>
    </row>
    <row r="44">
      <c r="A44" s="14" t="n">
        <v>34</v>
      </c>
      <c r="B44" s="14" t="n">
        <v>3800000000</v>
      </c>
      <c r="C44" s="14" t="n">
        <v>38.72848</v>
      </c>
      <c r="D44" s="14" t="n">
        <v>-0.000264</v>
      </c>
      <c r="E44" s="14" t="n">
        <v>0.78191</v>
      </c>
      <c r="F44" t="n">
        <v>11.72848</v>
      </c>
      <c r="G44" t="n">
        <v>31.793426</v>
      </c>
      <c r="H44" t="n">
        <v>7.461876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38.72848</v>
      </c>
      <c r="Q44" s="9" t="n">
        <v>-0.000264</v>
      </c>
      <c r="R44" s="9" t="n">
        <v>0.78191</v>
      </c>
      <c r="S44" s="9" t="n">
        <v>11.72848</v>
      </c>
      <c r="T44" s="9" t="n">
        <v>31.793426</v>
      </c>
      <c r="U44" s="9" t="n">
        <v>7.461876</v>
      </c>
    </row>
    <row r="45">
      <c r="A45" s="14" t="n">
        <v>35</v>
      </c>
      <c r="B45" s="14" t="n">
        <v>3900000000</v>
      </c>
      <c r="C45" s="14" t="n">
        <v>38.779956</v>
      </c>
      <c r="D45" s="14" t="n">
        <v>-0.000497</v>
      </c>
      <c r="E45" s="14" t="n">
        <v>0.762473</v>
      </c>
      <c r="F45" t="n">
        <v>11.779956</v>
      </c>
      <c r="G45" t="n">
        <v>33.02065</v>
      </c>
      <c r="H45" t="n">
        <v>7.550845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38.779956</v>
      </c>
      <c r="Q45" s="9" t="n">
        <v>-0.000497</v>
      </c>
      <c r="R45" s="9" t="n">
        <v>0.762473</v>
      </c>
      <c r="S45" s="9" t="n">
        <v>11.779956</v>
      </c>
      <c r="T45" s="9" t="n">
        <v>33.02065</v>
      </c>
      <c r="U45" s="9" t="n">
        <v>7.550845</v>
      </c>
    </row>
    <row r="46">
      <c r="A46" s="14" t="n">
        <v>36</v>
      </c>
      <c r="B46" s="14" t="n">
        <v>4000000000</v>
      </c>
      <c r="C46" s="14" t="n">
        <v>38.610335</v>
      </c>
      <c r="D46" s="14" t="n">
        <v>-9.2e-05</v>
      </c>
      <c r="E46" s="14" t="n">
        <v>0.766352</v>
      </c>
      <c r="F46" t="n">
        <v>11.610335</v>
      </c>
      <c r="G46" t="n">
        <v>31.505639</v>
      </c>
      <c r="H46" t="n">
        <v>7.261619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38.610335</v>
      </c>
      <c r="Q46" s="9" t="n">
        <v>-9.2e-05</v>
      </c>
      <c r="R46" s="9" t="n">
        <v>0.766352</v>
      </c>
      <c r="S46" s="9" t="n">
        <v>11.610335</v>
      </c>
      <c r="T46" s="9" t="n">
        <v>31.505639</v>
      </c>
      <c r="U46" s="9" t="n">
        <v>7.261619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38.660932</v>
      </c>
      <c r="D11" s="14" t="n">
        <v>-0.000218</v>
      </c>
      <c r="E11" s="14" t="n">
        <v>0.48121</v>
      </c>
      <c r="F11" t="n">
        <v>11.660932</v>
      </c>
      <c r="G11" t="n">
        <v>50.805956</v>
      </c>
      <c r="H11" t="n">
        <v>7.346715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38.660932</v>
      </c>
      <c r="Q11" s="9" t="n">
        <v>-0.000218</v>
      </c>
      <c r="R11" s="9" t="n">
        <v>0.48121</v>
      </c>
      <c r="S11" s="9" t="n">
        <v>11.660932</v>
      </c>
      <c r="T11" s="9" t="n">
        <v>50.805956</v>
      </c>
      <c r="U11" s="9" t="n">
        <v>7.346715</v>
      </c>
    </row>
    <row r="12">
      <c r="A12" s="14" t="n">
        <v>2</v>
      </c>
      <c r="B12" s="14" t="n">
        <v>600000000</v>
      </c>
      <c r="C12" s="14" t="n">
        <v>38.654916</v>
      </c>
      <c r="D12" s="14" t="n">
        <v>-0.000214</v>
      </c>
      <c r="E12" s="14" t="n">
        <v>0.46146</v>
      </c>
      <c r="F12" t="n">
        <v>11.654916</v>
      </c>
      <c r="G12" t="n">
        <v>52.901688</v>
      </c>
      <c r="H12" t="n">
        <v>7.336546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38.654916</v>
      </c>
      <c r="Q12" s="9" t="n">
        <v>-0.000214</v>
      </c>
      <c r="R12" s="9" t="n">
        <v>0.46146</v>
      </c>
      <c r="S12" s="9" t="n">
        <v>11.654916</v>
      </c>
      <c r="T12" s="9" t="n">
        <v>52.901688</v>
      </c>
      <c r="U12" s="9" t="n">
        <v>7.336546</v>
      </c>
    </row>
    <row r="13">
      <c r="A13" s="14" t="n">
        <v>3</v>
      </c>
      <c r="B13" s="14" t="n">
        <v>700000000</v>
      </c>
      <c r="C13" s="14" t="n">
        <v>38.542113</v>
      </c>
      <c r="D13" s="14" t="n">
        <v>-4.7e-05</v>
      </c>
      <c r="E13" s="14" t="n">
        <v>0.460718</v>
      </c>
      <c r="F13" t="n">
        <v>11.542113</v>
      </c>
      <c r="G13" t="n">
        <v>51.528701</v>
      </c>
      <c r="H13" t="n">
        <v>7.14844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38.542113</v>
      </c>
      <c r="Q13" s="9" t="n">
        <v>-4.7e-05</v>
      </c>
      <c r="R13" s="9" t="n">
        <v>0.460718</v>
      </c>
      <c r="S13" s="9" t="n">
        <v>11.542113</v>
      </c>
      <c r="T13" s="9" t="n">
        <v>51.528701</v>
      </c>
      <c r="U13" s="9" t="n">
        <v>7.14844</v>
      </c>
    </row>
    <row r="14">
      <c r="A14" s="14" t="n">
        <v>4</v>
      </c>
      <c r="B14" s="14" t="n">
        <v>800000000</v>
      </c>
      <c r="C14" s="14" t="n">
        <v>38.685709</v>
      </c>
      <c r="D14" s="14" t="n">
        <v>-0.000249</v>
      </c>
      <c r="E14" s="14" t="n">
        <v>0.483689</v>
      </c>
      <c r="F14" t="n">
        <v>11.685709</v>
      </c>
      <c r="G14" t="n">
        <v>50.855874</v>
      </c>
      <c r="H14" t="n">
        <v>7.388749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38.685709</v>
      </c>
      <c r="Q14" s="9" t="n">
        <v>-0.000249</v>
      </c>
      <c r="R14" s="9" t="n">
        <v>0.483689</v>
      </c>
      <c r="S14" s="9" t="n">
        <v>11.685709</v>
      </c>
      <c r="T14" s="9" t="n">
        <v>50.855874</v>
      </c>
      <c r="U14" s="9" t="n">
        <v>7.388749</v>
      </c>
    </row>
    <row r="15">
      <c r="A15" s="14" t="n">
        <v>5</v>
      </c>
      <c r="B15" s="14" t="n">
        <v>900000000</v>
      </c>
      <c r="C15" s="14" t="n">
        <v>38.794574</v>
      </c>
      <c r="D15" s="14" t="n">
        <v>-0.000186</v>
      </c>
      <c r="E15" s="14" t="n">
        <v>0.49574</v>
      </c>
      <c r="F15" t="n">
        <v>11.794574</v>
      </c>
      <c r="G15" t="n">
        <v>50.970804</v>
      </c>
      <c r="H15" t="n">
        <v>7.576303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38.794574</v>
      </c>
      <c r="Q15" s="9" t="n">
        <v>-0.000186</v>
      </c>
      <c r="R15" s="9" t="n">
        <v>0.49574</v>
      </c>
      <c r="S15" s="9" t="n">
        <v>11.794574</v>
      </c>
      <c r="T15" s="9" t="n">
        <v>50.970804</v>
      </c>
      <c r="U15" s="9" t="n">
        <v>7.576303</v>
      </c>
    </row>
    <row r="16">
      <c r="A16" s="14" t="n">
        <v>6</v>
      </c>
      <c r="B16" s="14" t="n">
        <v>1000000000</v>
      </c>
      <c r="C16" s="14" t="n">
        <v>38.710357</v>
      </c>
      <c r="D16" s="14" t="n">
        <v>-0.00061</v>
      </c>
      <c r="E16" s="14" t="n">
        <v>0.517308</v>
      </c>
      <c r="F16" t="n">
        <v>11.710357</v>
      </c>
      <c r="G16" t="n">
        <v>47.841162</v>
      </c>
      <c r="H16" t="n">
        <v>7.430802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38.710357</v>
      </c>
      <c r="Q16" s="9" t="n">
        <v>-0.00061</v>
      </c>
      <c r="R16" s="9" t="n">
        <v>0.517308</v>
      </c>
      <c r="S16" s="9" t="n">
        <v>11.710357</v>
      </c>
      <c r="T16" s="9" t="n">
        <v>47.841162</v>
      </c>
      <c r="U16" s="9" t="n">
        <v>7.430802</v>
      </c>
    </row>
    <row r="17">
      <c r="A17" s="14" t="n">
        <v>7</v>
      </c>
      <c r="B17" s="14" t="n">
        <v>1100000000</v>
      </c>
      <c r="C17" s="14" t="n">
        <v>38.640682</v>
      </c>
      <c r="D17" s="14" t="n">
        <v>-0.000299</v>
      </c>
      <c r="E17" s="14" t="n">
        <v>0.508761</v>
      </c>
      <c r="F17" t="n">
        <v>11.640682</v>
      </c>
      <c r="G17" t="n">
        <v>47.814736</v>
      </c>
      <c r="H17" t="n">
        <v>7.312539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38.640682</v>
      </c>
      <c r="Q17" s="9" t="n">
        <v>-0.000299</v>
      </c>
      <c r="R17" s="9" t="n">
        <v>0.508761</v>
      </c>
      <c r="S17" s="9" t="n">
        <v>11.640682</v>
      </c>
      <c r="T17" s="9" t="n">
        <v>47.814736</v>
      </c>
      <c r="U17" s="9" t="n">
        <v>7.312539</v>
      </c>
    </row>
    <row r="18">
      <c r="A18" s="14" t="n">
        <v>8</v>
      </c>
      <c r="B18" s="14" t="n">
        <v>1200000000</v>
      </c>
      <c r="C18" s="14" t="n">
        <v>38.248979</v>
      </c>
      <c r="D18" s="14" t="n">
        <v>-0.000372</v>
      </c>
      <c r="E18" s="14" t="n">
        <v>0.516396</v>
      </c>
      <c r="F18" t="n">
        <v>11.248979</v>
      </c>
      <c r="G18" t="n">
        <v>42.745992</v>
      </c>
      <c r="H18" t="n">
        <v>6.681868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38.248979</v>
      </c>
      <c r="Q18" s="9" t="n">
        <v>-0.000372</v>
      </c>
      <c r="R18" s="9" t="n">
        <v>0.516396</v>
      </c>
      <c r="S18" s="9" t="n">
        <v>11.248979</v>
      </c>
      <c r="T18" s="9" t="n">
        <v>42.745992</v>
      </c>
      <c r="U18" s="9" t="n">
        <v>6.681868</v>
      </c>
    </row>
    <row r="19">
      <c r="A19" s="14" t="n">
        <v>9</v>
      </c>
      <c r="B19" s="14" t="n">
        <v>1300000000</v>
      </c>
      <c r="C19" s="14" t="n">
        <v>38.144515</v>
      </c>
      <c r="D19" s="14" t="n">
        <v>0.00012</v>
      </c>
      <c r="E19" s="14" t="n">
        <v>0.543609</v>
      </c>
      <c r="F19" t="n">
        <v>11.144515</v>
      </c>
      <c r="G19" t="n">
        <v>39.562833</v>
      </c>
      <c r="H19" t="n">
        <v>6.523062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38.144515</v>
      </c>
      <c r="Q19" s="9" t="n">
        <v>0.00012</v>
      </c>
      <c r="R19" s="9" t="n">
        <v>0.543609</v>
      </c>
      <c r="S19" s="9" t="n">
        <v>11.144515</v>
      </c>
      <c r="T19" s="9" t="n">
        <v>39.562833</v>
      </c>
      <c r="U19" s="9" t="n">
        <v>6.523062</v>
      </c>
    </row>
    <row r="20">
      <c r="A20" s="14" t="n">
        <v>10</v>
      </c>
      <c r="B20" s="14" t="n">
        <v>1400000000</v>
      </c>
      <c r="C20" s="14" t="n">
        <v>38.081949</v>
      </c>
      <c r="D20" s="14" t="n">
        <v>0.000169</v>
      </c>
      <c r="E20" s="14" t="n">
        <v>0.5595250000000001</v>
      </c>
      <c r="F20" t="n">
        <v>11.081949</v>
      </c>
      <c r="G20" t="n">
        <v>37.841901</v>
      </c>
      <c r="H20" t="n">
        <v>6.429762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38.081949</v>
      </c>
      <c r="Q20" s="9" t="n">
        <v>0.000169</v>
      </c>
      <c r="R20" s="9" t="n">
        <v>0.5595250000000001</v>
      </c>
      <c r="S20" s="9" t="n">
        <v>11.081949</v>
      </c>
      <c r="T20" s="9" t="n">
        <v>37.841901</v>
      </c>
      <c r="U20" s="9" t="n">
        <v>6.429762</v>
      </c>
    </row>
    <row r="21">
      <c r="A21" s="14" t="n">
        <v>11</v>
      </c>
      <c r="B21" s="14" t="n">
        <v>1500000000</v>
      </c>
      <c r="C21" s="14" t="n">
        <v>38.164488</v>
      </c>
      <c r="D21" s="14" t="n">
        <v>-0.00029</v>
      </c>
      <c r="E21" s="14" t="n">
        <v>0.571702</v>
      </c>
      <c r="F21" t="n">
        <v>11.164488</v>
      </c>
      <c r="G21" t="n">
        <v>37.806548</v>
      </c>
      <c r="H21" t="n">
        <v>6.553131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38.164488</v>
      </c>
      <c r="Q21" s="9" t="n">
        <v>-0.00029</v>
      </c>
      <c r="R21" s="9" t="n">
        <v>0.571702</v>
      </c>
      <c r="S21" s="9" t="n">
        <v>11.164488</v>
      </c>
      <c r="T21" s="9" t="n">
        <v>37.806548</v>
      </c>
      <c r="U21" s="9" t="n">
        <v>6.553131</v>
      </c>
    </row>
    <row r="22">
      <c r="A22" s="14" t="n">
        <v>12</v>
      </c>
      <c r="B22" s="14" t="n">
        <v>1600000000</v>
      </c>
      <c r="C22" s="14" t="n">
        <v>38.144612</v>
      </c>
      <c r="D22" s="14" t="n">
        <v>-0.000196</v>
      </c>
      <c r="E22" s="14" t="n">
        <v>0.567877</v>
      </c>
      <c r="F22" t="n">
        <v>11.144612</v>
      </c>
      <c r="G22" t="n">
        <v>37.873021</v>
      </c>
      <c r="H22" t="n">
        <v>6.523208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38.144612</v>
      </c>
      <c r="Q22" s="9" t="n">
        <v>-0.000196</v>
      </c>
      <c r="R22" s="9" t="n">
        <v>0.567877</v>
      </c>
      <c r="S22" s="9" t="n">
        <v>11.144612</v>
      </c>
      <c r="T22" s="9" t="n">
        <v>37.873021</v>
      </c>
      <c r="U22" s="9" t="n">
        <v>6.523208</v>
      </c>
    </row>
    <row r="23">
      <c r="A23" s="14" t="n">
        <v>13</v>
      </c>
      <c r="B23" s="14" t="n">
        <v>1700000000</v>
      </c>
      <c r="C23" s="14" t="n">
        <v>37.919378</v>
      </c>
      <c r="D23" s="14" t="n">
        <v>3e-06</v>
      </c>
      <c r="E23" s="14" t="n">
        <v>0.575034</v>
      </c>
      <c r="F23" t="n">
        <v>10.919378</v>
      </c>
      <c r="G23" t="n">
        <v>35.354031</v>
      </c>
      <c r="H23" t="n">
        <v>6.193524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37.919378</v>
      </c>
      <c r="Q23" s="9" t="n">
        <v>3e-06</v>
      </c>
      <c r="R23" s="9" t="n">
        <v>0.575034</v>
      </c>
      <c r="S23" s="9" t="n">
        <v>10.919378</v>
      </c>
      <c r="T23" s="9" t="n">
        <v>35.354031</v>
      </c>
      <c r="U23" s="9" t="n">
        <v>6.193524</v>
      </c>
    </row>
    <row r="24">
      <c r="A24" s="14" t="n">
        <v>14</v>
      </c>
      <c r="B24" s="14" t="n">
        <v>1800000000</v>
      </c>
      <c r="C24" s="14" t="n">
        <v>37.662287</v>
      </c>
      <c r="D24" s="14" t="n">
        <v>-0.000331</v>
      </c>
      <c r="E24" s="14" t="n">
        <v>0.573688</v>
      </c>
      <c r="F24" t="n">
        <v>10.662287</v>
      </c>
      <c r="G24" t="n">
        <v>33.220748</v>
      </c>
      <c r="H24" t="n">
        <v>5.837524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37.662287</v>
      </c>
      <c r="Q24" s="9" t="n">
        <v>-0.000331</v>
      </c>
      <c r="R24" s="9" t="n">
        <v>0.573688</v>
      </c>
      <c r="S24" s="9" t="n">
        <v>10.662287</v>
      </c>
      <c r="T24" s="9" t="n">
        <v>33.220748</v>
      </c>
      <c r="U24" s="9" t="n">
        <v>5.837524</v>
      </c>
    </row>
    <row r="25">
      <c r="A25" s="14" t="n">
        <v>15</v>
      </c>
      <c r="B25" s="14" t="n">
        <v>1900000000</v>
      </c>
      <c r="C25" s="14" t="n">
        <v>37.07023</v>
      </c>
      <c r="D25" s="14" t="n">
        <v>2.5e-05</v>
      </c>
      <c r="E25" s="14" t="n">
        <v>0.563978</v>
      </c>
      <c r="F25" t="n">
        <v>10.07023</v>
      </c>
      <c r="G25" t="n">
        <v>29.081646</v>
      </c>
      <c r="H25" t="n">
        <v>5.093579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37.07023</v>
      </c>
      <c r="Q25" s="9" t="n">
        <v>2.5e-05</v>
      </c>
      <c r="R25" s="9" t="n">
        <v>0.563978</v>
      </c>
      <c r="S25" s="9" t="n">
        <v>10.07023</v>
      </c>
      <c r="T25" s="9" t="n">
        <v>29.081646</v>
      </c>
      <c r="U25" s="9" t="n">
        <v>5.093579</v>
      </c>
    </row>
    <row r="26">
      <c r="A26" s="14" t="n">
        <v>16</v>
      </c>
      <c r="B26" s="14" t="n">
        <v>2000000000</v>
      </c>
      <c r="C26" s="14" t="n">
        <v>36.866874</v>
      </c>
      <c r="D26" s="14" t="n">
        <v>-0.000171</v>
      </c>
      <c r="E26" s="14" t="n">
        <v>0.5573939999999999</v>
      </c>
      <c r="F26" t="n">
        <v>9.866873999999999</v>
      </c>
      <c r="G26" t="n">
        <v>27.93219</v>
      </c>
      <c r="H26" t="n">
        <v>4.860572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36.866874</v>
      </c>
      <c r="Q26" s="9" t="n">
        <v>-0.000171</v>
      </c>
      <c r="R26" s="9" t="n">
        <v>0.5573939999999999</v>
      </c>
      <c r="S26" s="9" t="n">
        <v>9.866873999999999</v>
      </c>
      <c r="T26" s="9" t="n">
        <v>27.93219</v>
      </c>
      <c r="U26" s="9" t="n">
        <v>4.860572</v>
      </c>
    </row>
    <row r="27">
      <c r="A27" s="14" t="n">
        <v>17</v>
      </c>
      <c r="B27" s="14" t="n">
        <v>2100000000</v>
      </c>
      <c r="C27" s="14" t="n">
        <v>36.954358</v>
      </c>
      <c r="D27" s="14" t="n">
        <v>-0.000276</v>
      </c>
      <c r="E27" s="14" t="n">
        <v>0.5383</v>
      </c>
      <c r="F27" t="n">
        <v>9.954357999999999</v>
      </c>
      <c r="G27" t="n">
        <v>29.579136</v>
      </c>
      <c r="H27" t="n">
        <v>4.959476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36.954358</v>
      </c>
      <c r="Q27" s="9" t="n">
        <v>-0.000276</v>
      </c>
      <c r="R27" s="9" t="n">
        <v>0.5383</v>
      </c>
      <c r="S27" s="9" t="n">
        <v>9.954357999999999</v>
      </c>
      <c r="T27" s="9" t="n">
        <v>29.579136</v>
      </c>
      <c r="U27" s="9" t="n">
        <v>4.959476</v>
      </c>
    </row>
    <row r="28">
      <c r="A28" s="14" t="n">
        <v>18</v>
      </c>
      <c r="B28" s="14" t="n">
        <v>2200000000</v>
      </c>
      <c r="C28" s="14" t="n">
        <v>36.415461</v>
      </c>
      <c r="D28" s="14" t="n">
        <v>0.000159</v>
      </c>
      <c r="E28" s="14" t="n">
        <v>0.52938</v>
      </c>
      <c r="F28" t="n">
        <v>9.415461000000001</v>
      </c>
      <c r="G28" t="n">
        <v>26.173056</v>
      </c>
      <c r="H28" t="n">
        <v>4.380726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36.415461</v>
      </c>
      <c r="Q28" s="9" t="n">
        <v>0.000159</v>
      </c>
      <c r="R28" s="9" t="n">
        <v>0.52938</v>
      </c>
      <c r="S28" s="9" t="n">
        <v>9.415461000000001</v>
      </c>
      <c r="T28" s="9" t="n">
        <v>26.173056</v>
      </c>
      <c r="U28" s="9" t="n">
        <v>4.380726</v>
      </c>
    </row>
    <row r="29">
      <c r="A29" s="14" t="n">
        <v>19</v>
      </c>
      <c r="B29" s="14" t="n">
        <v>2300000000</v>
      </c>
      <c r="C29" s="14" t="n">
        <v>36.086652</v>
      </c>
      <c r="D29" s="14" t="n">
        <v>4.8e-05</v>
      </c>
      <c r="E29" s="14" t="n">
        <v>0.555001</v>
      </c>
      <c r="F29" t="n">
        <v>9.086652000000001</v>
      </c>
      <c r="G29" t="n">
        <v>22.909324</v>
      </c>
      <c r="H29" t="n">
        <v>4.061301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36.086652</v>
      </c>
      <c r="Q29" s="9" t="n">
        <v>4.8e-05</v>
      </c>
      <c r="R29" s="9" t="n">
        <v>0.555001</v>
      </c>
      <c r="S29" s="9" t="n">
        <v>9.086652000000001</v>
      </c>
      <c r="T29" s="9" t="n">
        <v>22.909324</v>
      </c>
      <c r="U29" s="9" t="n">
        <v>4.061301</v>
      </c>
    </row>
    <row r="30">
      <c r="A30" s="14" t="n">
        <v>20</v>
      </c>
      <c r="B30" s="14" t="n">
        <v>2400000000</v>
      </c>
      <c r="C30" s="14" t="n">
        <v>35.715827</v>
      </c>
      <c r="D30" s="14" t="n">
        <v>-0.000242</v>
      </c>
      <c r="E30" s="14" t="n">
        <v>0.558369</v>
      </c>
      <c r="F30" t="n">
        <v>8.715827000000001</v>
      </c>
      <c r="G30" t="n">
        <v>20.645158</v>
      </c>
      <c r="H30" t="n">
        <v>3.728917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35.715827</v>
      </c>
      <c r="Q30" s="9" t="n">
        <v>-0.000242</v>
      </c>
      <c r="R30" s="9" t="n">
        <v>0.558369</v>
      </c>
      <c r="S30" s="9" t="n">
        <v>8.715827000000001</v>
      </c>
      <c r="T30" s="9" t="n">
        <v>20.645158</v>
      </c>
      <c r="U30" s="9" t="n">
        <v>3.728917</v>
      </c>
    </row>
    <row r="31">
      <c r="A31" s="14" t="n">
        <v>21</v>
      </c>
      <c r="B31" s="14" t="n">
        <v>2500000000</v>
      </c>
      <c r="C31" s="14" t="n">
        <v>35.465529</v>
      </c>
      <c r="D31" s="14" t="n">
        <v>-7.1e-05</v>
      </c>
      <c r="E31" s="14" t="n">
        <v>0.557038</v>
      </c>
      <c r="F31" t="n">
        <v>8.465529</v>
      </c>
      <c r="G31" t="n">
        <v>19.355523</v>
      </c>
      <c r="H31" t="n">
        <v>3.520083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35.465529</v>
      </c>
      <c r="Q31" s="9" t="n">
        <v>-7.1e-05</v>
      </c>
      <c r="R31" s="9" t="n">
        <v>0.557038</v>
      </c>
      <c r="S31" s="9" t="n">
        <v>8.465529</v>
      </c>
      <c r="T31" s="9" t="n">
        <v>19.355523</v>
      </c>
      <c r="U31" s="9" t="n">
        <v>3.520083</v>
      </c>
    </row>
    <row r="32">
      <c r="A32" s="14" t="n">
        <v>22</v>
      </c>
      <c r="B32" s="14" t="n">
        <v>2600000000</v>
      </c>
      <c r="C32" s="14" t="n">
        <v>35.651764</v>
      </c>
      <c r="D32" s="14" t="n">
        <v>-0.000586</v>
      </c>
      <c r="E32" s="14" t="n">
        <v>0.549096</v>
      </c>
      <c r="F32" t="n">
        <v>8.651764</v>
      </c>
      <c r="G32" t="n">
        <v>20.638648</v>
      </c>
      <c r="H32" t="n">
        <v>3.674315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35.651764</v>
      </c>
      <c r="Q32" s="9" t="n">
        <v>-0.000586</v>
      </c>
      <c r="R32" s="9" t="n">
        <v>0.549096</v>
      </c>
      <c r="S32" s="9" t="n">
        <v>8.651764</v>
      </c>
      <c r="T32" s="9" t="n">
        <v>20.638648</v>
      </c>
      <c r="U32" s="9" t="n">
        <v>3.674315</v>
      </c>
    </row>
    <row r="33">
      <c r="A33" s="14" t="n">
        <v>23</v>
      </c>
      <c r="B33" s="14" t="n">
        <v>2700000000</v>
      </c>
      <c r="C33" s="14" t="n">
        <v>35.45356</v>
      </c>
      <c r="D33" s="14" t="n">
        <v>-0.000497</v>
      </c>
      <c r="E33" s="14" t="n">
        <v>0.557885</v>
      </c>
      <c r="F33" t="n">
        <v>8.45356</v>
      </c>
      <c r="G33" t="n">
        <v>19.264147</v>
      </c>
      <c r="H33" t="n">
        <v>3.510395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35.45356</v>
      </c>
      <c r="Q33" s="9" t="n">
        <v>-0.000497</v>
      </c>
      <c r="R33" s="9" t="n">
        <v>0.557885</v>
      </c>
      <c r="S33" s="9" t="n">
        <v>8.45356</v>
      </c>
      <c r="T33" s="9" t="n">
        <v>19.264147</v>
      </c>
      <c r="U33" s="9" t="n">
        <v>3.510395</v>
      </c>
    </row>
    <row r="34">
      <c r="A34" s="14" t="n">
        <v>24</v>
      </c>
      <c r="B34" s="14" t="n">
        <v>2800000000</v>
      </c>
      <c r="C34" s="14" t="n">
        <v>34.924516</v>
      </c>
      <c r="D34" s="14" t="n">
        <v>0.000138</v>
      </c>
      <c r="E34" s="14" t="n">
        <v>0.566459</v>
      </c>
      <c r="F34" t="n">
        <v>7.924516</v>
      </c>
      <c r="G34" t="n">
        <v>16.43418</v>
      </c>
      <c r="H34" t="n">
        <v>3.10779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34.924516</v>
      </c>
      <c r="Q34" s="9" t="n">
        <v>0.000138</v>
      </c>
      <c r="R34" s="9" t="n">
        <v>0.566459</v>
      </c>
      <c r="S34" s="9" t="n">
        <v>7.924516</v>
      </c>
      <c r="T34" s="9" t="n">
        <v>16.43418</v>
      </c>
      <c r="U34" s="9" t="n">
        <v>3.10779</v>
      </c>
    </row>
    <row r="35">
      <c r="A35" s="14" t="n">
        <v>25</v>
      </c>
      <c r="B35" s="14" t="n">
        <v>2900000000</v>
      </c>
      <c r="C35" s="14" t="n">
        <v>34.817974</v>
      </c>
      <c r="D35" s="14" t="n">
        <v>0.000479</v>
      </c>
      <c r="E35" s="14" t="n">
        <v>0.572897</v>
      </c>
      <c r="F35" t="n">
        <v>7.817974</v>
      </c>
      <c r="G35" t="n">
        <v>15.779994</v>
      </c>
      <c r="H35" t="n">
        <v>3.032476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34.817974</v>
      </c>
      <c r="Q35" s="9" t="n">
        <v>0.000479</v>
      </c>
      <c r="R35" s="9" t="n">
        <v>0.572897</v>
      </c>
      <c r="S35" s="9" t="n">
        <v>7.817974</v>
      </c>
      <c r="T35" s="9" t="n">
        <v>15.779994</v>
      </c>
      <c r="U35" s="9" t="n">
        <v>3.032476</v>
      </c>
    </row>
    <row r="36">
      <c r="A36" s="14" t="n">
        <v>26</v>
      </c>
      <c r="B36" s="14" t="n">
        <v>3000000000</v>
      </c>
      <c r="C36" s="14" t="n">
        <v>34.611343</v>
      </c>
      <c r="D36" s="14" t="n">
        <v>-0.000469</v>
      </c>
      <c r="E36" s="14" t="n">
        <v>0.576</v>
      </c>
      <c r="F36" t="n">
        <v>7.611343</v>
      </c>
      <c r="G36" t="n">
        <v>14.821349</v>
      </c>
      <c r="H36" t="n">
        <v>2.891574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34.611343</v>
      </c>
      <c r="Q36" s="9" t="n">
        <v>-0.000469</v>
      </c>
      <c r="R36" s="9" t="n">
        <v>0.576</v>
      </c>
      <c r="S36" s="9" t="n">
        <v>7.611343</v>
      </c>
      <c r="T36" s="9" t="n">
        <v>14.821349</v>
      </c>
      <c r="U36" s="9" t="n">
        <v>2.891574</v>
      </c>
    </row>
    <row r="37">
      <c r="A37" s="14" t="n">
        <v>27</v>
      </c>
      <c r="B37" s="14" t="n">
        <v>3100000000</v>
      </c>
      <c r="C37" s="14" t="n">
        <v>34.71964</v>
      </c>
      <c r="D37" s="14" t="n">
        <v>-0.000503</v>
      </c>
      <c r="E37" s="14" t="n">
        <v>0.586429</v>
      </c>
      <c r="F37" t="n">
        <v>7.71964</v>
      </c>
      <c r="G37" t="n">
        <v>15.002409</v>
      </c>
      <c r="H37" t="n">
        <v>2.964585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34.71964</v>
      </c>
      <c r="Q37" s="9" t="n">
        <v>-0.000503</v>
      </c>
      <c r="R37" s="9" t="n">
        <v>0.586429</v>
      </c>
      <c r="S37" s="9" t="n">
        <v>7.71964</v>
      </c>
      <c r="T37" s="9" t="n">
        <v>15.002409</v>
      </c>
      <c r="U37" s="9" t="n">
        <v>2.964585</v>
      </c>
    </row>
    <row r="38">
      <c r="A38" s="14" t="n">
        <v>28</v>
      </c>
      <c r="B38" s="14" t="n">
        <v>3200000000</v>
      </c>
      <c r="C38" s="14" t="n">
        <v>34.838521</v>
      </c>
      <c r="D38" s="14" t="n">
        <v>-0.000318</v>
      </c>
      <c r="E38" s="14" t="n">
        <v>0.591439</v>
      </c>
      <c r="F38" t="n">
        <v>7.838521</v>
      </c>
      <c r="G38" t="n">
        <v>15.37214</v>
      </c>
      <c r="H38" t="n">
        <v>3.046858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34.838521</v>
      </c>
      <c r="Q38" s="9" t="n">
        <v>-0.000318</v>
      </c>
      <c r="R38" s="9" t="n">
        <v>0.591439</v>
      </c>
      <c r="S38" s="9" t="n">
        <v>7.838521</v>
      </c>
      <c r="T38" s="9" t="n">
        <v>15.37214</v>
      </c>
      <c r="U38" s="9" t="n">
        <v>3.046858</v>
      </c>
    </row>
    <row r="39">
      <c r="A39" s="14" t="n">
        <v>29</v>
      </c>
      <c r="B39" s="14" t="n">
        <v>3300000000</v>
      </c>
      <c r="C39" s="14" t="n">
        <v>34.315014</v>
      </c>
      <c r="D39" s="14" t="n">
        <v>-0.000174</v>
      </c>
      <c r="E39" s="14" t="n">
        <v>0.587777</v>
      </c>
      <c r="F39" t="n">
        <v>7.315014</v>
      </c>
      <c r="G39" t="n">
        <v>13.365536</v>
      </c>
      <c r="H39" t="n">
        <v>2.700856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34.315014</v>
      </c>
      <c r="Q39" s="9" t="n">
        <v>-0.000174</v>
      </c>
      <c r="R39" s="9" t="n">
        <v>0.587777</v>
      </c>
      <c r="S39" s="9" t="n">
        <v>7.315014</v>
      </c>
      <c r="T39" s="9" t="n">
        <v>13.365536</v>
      </c>
      <c r="U39" s="9" t="n">
        <v>2.700856</v>
      </c>
    </row>
    <row r="40">
      <c r="A40" s="14" t="n">
        <v>30</v>
      </c>
      <c r="B40" s="14" t="n">
        <v>3400000000</v>
      </c>
      <c r="C40" s="14" t="n">
        <v>34.459086</v>
      </c>
      <c r="D40" s="14" t="n">
        <v>-6.4e-05</v>
      </c>
      <c r="E40" s="14" t="n">
        <v>0.5946050000000001</v>
      </c>
      <c r="F40" t="n">
        <v>7.459086</v>
      </c>
      <c r="G40" t="n">
        <v>13.75926</v>
      </c>
      <c r="H40" t="n">
        <v>2.791957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34.459086</v>
      </c>
      <c r="Q40" s="9" t="n">
        <v>-6.4e-05</v>
      </c>
      <c r="R40" s="9" t="n">
        <v>0.5946050000000001</v>
      </c>
      <c r="S40" s="9" t="n">
        <v>7.459086</v>
      </c>
      <c r="T40" s="9" t="n">
        <v>13.75926</v>
      </c>
      <c r="U40" s="9" t="n">
        <v>2.791957</v>
      </c>
    </row>
    <row r="41">
      <c r="A41" s="14" t="n">
        <v>31</v>
      </c>
      <c r="B41" s="14" t="n">
        <v>3500000000</v>
      </c>
      <c r="C41" s="14" t="n">
        <v>34.482545</v>
      </c>
      <c r="D41" s="14" t="n">
        <v>-0.000123</v>
      </c>
      <c r="E41" s="14" t="n">
        <v>0.599317</v>
      </c>
      <c r="F41" t="n">
        <v>7.482545</v>
      </c>
      <c r="G41" t="n">
        <v>13.74118</v>
      </c>
      <c r="H41" t="n">
        <v>2.807078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34.482545</v>
      </c>
      <c r="Q41" s="9" t="n">
        <v>-0.000123</v>
      </c>
      <c r="R41" s="9" t="n">
        <v>0.599317</v>
      </c>
      <c r="S41" s="9" t="n">
        <v>7.482545</v>
      </c>
      <c r="T41" s="9" t="n">
        <v>13.74118</v>
      </c>
      <c r="U41" s="9" t="n">
        <v>2.807078</v>
      </c>
    </row>
    <row r="42">
      <c r="A42" s="14" t="n">
        <v>32</v>
      </c>
      <c r="B42" s="14" t="n">
        <v>3600000000</v>
      </c>
      <c r="C42" s="14" t="n">
        <v>34.24294</v>
      </c>
      <c r="D42" s="14" t="n">
        <v>-0.000259</v>
      </c>
      <c r="E42" s="14" t="n">
        <v>0.598496</v>
      </c>
      <c r="F42" t="n">
        <v>7.24294</v>
      </c>
      <c r="G42" t="n">
        <v>12.860914</v>
      </c>
      <c r="H42" t="n">
        <v>2.656403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34.24294</v>
      </c>
      <c r="Q42" s="9" t="n">
        <v>-0.000259</v>
      </c>
      <c r="R42" s="9" t="n">
        <v>0.598496</v>
      </c>
      <c r="S42" s="9" t="n">
        <v>7.24294</v>
      </c>
      <c r="T42" s="9" t="n">
        <v>12.860914</v>
      </c>
      <c r="U42" s="9" t="n">
        <v>2.656403</v>
      </c>
    </row>
    <row r="43">
      <c r="A43" s="14" t="n">
        <v>33</v>
      </c>
      <c r="B43" s="14" t="n">
        <v>3700000000</v>
      </c>
      <c r="C43" s="14" t="n">
        <v>34.010592</v>
      </c>
      <c r="D43" s="14" t="n">
        <v>-0.000451</v>
      </c>
      <c r="E43" s="14" t="n">
        <v>0.604231</v>
      </c>
      <c r="F43" t="n">
        <v>7.010592</v>
      </c>
      <c r="G43" t="n">
        <v>11.9209</v>
      </c>
      <c r="H43" t="n">
        <v>2.51802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34.010592</v>
      </c>
      <c r="Q43" s="9" t="n">
        <v>-0.000451</v>
      </c>
      <c r="R43" s="9" t="n">
        <v>0.604231</v>
      </c>
      <c r="S43" s="9" t="n">
        <v>7.010592</v>
      </c>
      <c r="T43" s="9" t="n">
        <v>11.9209</v>
      </c>
      <c r="U43" s="9" t="n">
        <v>2.51802</v>
      </c>
    </row>
    <row r="44">
      <c r="A44" s="14" t="n">
        <v>34</v>
      </c>
      <c r="B44" s="14" t="n">
        <v>3800000000</v>
      </c>
      <c r="C44" s="14" t="n">
        <v>33.960822</v>
      </c>
      <c r="D44" s="14" t="n">
        <v>-0.000139</v>
      </c>
      <c r="E44" s="14" t="n">
        <v>0.607717</v>
      </c>
      <c r="F44" t="n">
        <v>6.960822</v>
      </c>
      <c r="G44" t="n">
        <v>11.683897</v>
      </c>
      <c r="H44" t="n">
        <v>2.489329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33.960822</v>
      </c>
      <c r="Q44" s="9" t="n">
        <v>-0.000139</v>
      </c>
      <c r="R44" s="9" t="n">
        <v>0.607717</v>
      </c>
      <c r="S44" s="9" t="n">
        <v>6.960822</v>
      </c>
      <c r="T44" s="9" t="n">
        <v>11.683897</v>
      </c>
      <c r="U44" s="9" t="n">
        <v>2.489329</v>
      </c>
    </row>
    <row r="45">
      <c r="A45" s="14" t="n">
        <v>35</v>
      </c>
      <c r="B45" s="14" t="n">
        <v>3900000000</v>
      </c>
      <c r="C45" s="14" t="n">
        <v>33.553986</v>
      </c>
      <c r="D45" s="14" t="n">
        <v>-0.000271</v>
      </c>
      <c r="E45" s="14" t="n">
        <v>0.5996</v>
      </c>
      <c r="F45" t="n">
        <v>6.553986</v>
      </c>
      <c r="G45" t="n">
        <v>10.516157</v>
      </c>
      <c r="H45" t="n">
        <v>2.266724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33.553986</v>
      </c>
      <c r="Q45" s="9" t="n">
        <v>-0.000271</v>
      </c>
      <c r="R45" s="9" t="n">
        <v>0.5996</v>
      </c>
      <c r="S45" s="9" t="n">
        <v>6.553986</v>
      </c>
      <c r="T45" s="9" t="n">
        <v>10.516157</v>
      </c>
      <c r="U45" s="9" t="n">
        <v>2.266724</v>
      </c>
    </row>
    <row r="46">
      <c r="A46" s="14" t="n">
        <v>36</v>
      </c>
      <c r="B46" s="14" t="n">
        <v>4000000000</v>
      </c>
      <c r="C46" s="14" t="n">
        <v>33.397351</v>
      </c>
      <c r="D46" s="14" t="n">
        <v>-0.000429</v>
      </c>
      <c r="E46" s="14" t="n">
        <v>0.595024</v>
      </c>
      <c r="F46" t="n">
        <v>6.397351</v>
      </c>
      <c r="G46" t="n">
        <v>10.115077</v>
      </c>
      <c r="H46" t="n">
        <v>2.186427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33.397351</v>
      </c>
      <c r="Q46" s="9" t="n">
        <v>-0.000429</v>
      </c>
      <c r="R46" s="9" t="n">
        <v>0.595024</v>
      </c>
      <c r="S46" s="9" t="n">
        <v>6.397351</v>
      </c>
      <c r="T46" s="9" t="n">
        <v>10.115077</v>
      </c>
      <c r="U46" s="9" t="n">
        <v>2.186427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39.424559</v>
      </c>
      <c r="D11" s="14" t="n">
        <v>-0.000176</v>
      </c>
      <c r="E11" s="14" t="n">
        <v>0.521169</v>
      </c>
      <c r="F11" t="n">
        <v>12.424559</v>
      </c>
      <c r="G11" t="n">
        <v>56.588728</v>
      </c>
      <c r="H11" t="n">
        <v>8.759028000000001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39.424559</v>
      </c>
      <c r="Q11" s="9" t="n">
        <v>-0.000176</v>
      </c>
      <c r="R11" s="9" t="n">
        <v>0.521169</v>
      </c>
      <c r="S11" s="9" t="n">
        <v>12.424559</v>
      </c>
      <c r="T11" s="9" t="n">
        <v>56.588728</v>
      </c>
      <c r="U11" s="9" t="n">
        <v>8.759028000000001</v>
      </c>
    </row>
    <row r="12">
      <c r="A12" s="14" t="n">
        <v>2</v>
      </c>
      <c r="B12" s="14" t="n">
        <v>600000000</v>
      </c>
      <c r="C12" s="14" t="n">
        <v>39.405203</v>
      </c>
      <c r="D12" s="14" t="n">
        <v>-0.0005730000000000001</v>
      </c>
      <c r="E12" s="14" t="n">
        <v>0.494838</v>
      </c>
      <c r="F12" t="n">
        <v>12.405203</v>
      </c>
      <c r="G12" t="n">
        <v>59.318748</v>
      </c>
      <c r="H12" t="n">
        <v>8.720076000000001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39.405203</v>
      </c>
      <c r="Q12" s="9" t="n">
        <v>-0.0005730000000000001</v>
      </c>
      <c r="R12" s="9" t="n">
        <v>0.494838</v>
      </c>
      <c r="S12" s="9" t="n">
        <v>12.405203</v>
      </c>
      <c r="T12" s="9" t="n">
        <v>59.318748</v>
      </c>
      <c r="U12" s="9" t="n">
        <v>8.720076000000001</v>
      </c>
    </row>
    <row r="13">
      <c r="A13" s="14" t="n">
        <v>3</v>
      </c>
      <c r="B13" s="14" t="n">
        <v>700000000</v>
      </c>
      <c r="C13" s="14" t="n">
        <v>39.326644</v>
      </c>
      <c r="D13" s="14" t="n">
        <v>-0.00019</v>
      </c>
      <c r="E13" s="14" t="n">
        <v>0.499589</v>
      </c>
      <c r="F13" t="n">
        <v>12.326644</v>
      </c>
      <c r="G13" t="n">
        <v>57.637188</v>
      </c>
      <c r="H13" t="n">
        <v>8.563758999999999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39.326644</v>
      </c>
      <c r="Q13" s="9" t="n">
        <v>-0.00019</v>
      </c>
      <c r="R13" s="9" t="n">
        <v>0.499589</v>
      </c>
      <c r="S13" s="9" t="n">
        <v>12.326644</v>
      </c>
      <c r="T13" s="9" t="n">
        <v>57.637188</v>
      </c>
      <c r="U13" s="9" t="n">
        <v>8.563758999999999</v>
      </c>
    </row>
    <row r="14">
      <c r="A14" s="14" t="n">
        <v>4</v>
      </c>
      <c r="B14" s="14" t="n">
        <v>800000000</v>
      </c>
      <c r="C14" s="14" t="n">
        <v>39.63671</v>
      </c>
      <c r="D14" s="14" t="n">
        <v>3e-06</v>
      </c>
      <c r="E14" s="14" t="n">
        <v>0.536905</v>
      </c>
      <c r="F14" t="n">
        <v>12.63671</v>
      </c>
      <c r="G14" t="n">
        <v>57.847042</v>
      </c>
      <c r="H14" t="n">
        <v>9.197525000000001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39.63671</v>
      </c>
      <c r="Q14" s="9" t="n">
        <v>3e-06</v>
      </c>
      <c r="R14" s="9" t="n">
        <v>0.536905</v>
      </c>
      <c r="S14" s="9" t="n">
        <v>12.63671</v>
      </c>
      <c r="T14" s="9" t="n">
        <v>57.847042</v>
      </c>
      <c r="U14" s="9" t="n">
        <v>9.197525000000001</v>
      </c>
    </row>
    <row r="15">
      <c r="A15" s="14" t="n">
        <v>5</v>
      </c>
      <c r="B15" s="14" t="n">
        <v>900000000</v>
      </c>
      <c r="C15" s="14" t="n">
        <v>39.818646</v>
      </c>
      <c r="D15" s="14" t="n">
        <v>-0.000225</v>
      </c>
      <c r="E15" s="14" t="n">
        <v>0.546914</v>
      </c>
      <c r="F15" t="n">
        <v>12.818646</v>
      </c>
      <c r="G15" t="n">
        <v>59.357884</v>
      </c>
      <c r="H15" t="n">
        <v>9.591015000000001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39.818646</v>
      </c>
      <c r="Q15" s="9" t="n">
        <v>-0.000225</v>
      </c>
      <c r="R15" s="9" t="n">
        <v>0.546914</v>
      </c>
      <c r="S15" s="9" t="n">
        <v>12.818646</v>
      </c>
      <c r="T15" s="9" t="n">
        <v>59.357884</v>
      </c>
      <c r="U15" s="9" t="n">
        <v>9.591015000000001</v>
      </c>
    </row>
    <row r="16">
      <c r="A16" s="14" t="n">
        <v>6</v>
      </c>
      <c r="B16" s="14" t="n">
        <v>1000000000</v>
      </c>
      <c r="C16" s="14" t="n">
        <v>39.804254</v>
      </c>
      <c r="D16" s="14" t="n">
        <v>-8.1e-05</v>
      </c>
      <c r="E16" s="14" t="n">
        <v>0.568816</v>
      </c>
      <c r="F16" t="n">
        <v>12.804254</v>
      </c>
      <c r="G16" t="n">
        <v>56.873145</v>
      </c>
      <c r="H16" t="n">
        <v>9.559284999999999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39.804254</v>
      </c>
      <c r="Q16" s="9" t="n">
        <v>-8.1e-05</v>
      </c>
      <c r="R16" s="9" t="n">
        <v>0.568816</v>
      </c>
      <c r="S16" s="9" t="n">
        <v>12.804254</v>
      </c>
      <c r="T16" s="9" t="n">
        <v>56.873145</v>
      </c>
      <c r="U16" s="9" t="n">
        <v>9.559284999999999</v>
      </c>
    </row>
    <row r="17">
      <c r="A17" s="14" t="n">
        <v>7</v>
      </c>
      <c r="B17" s="14" t="n">
        <v>1100000000</v>
      </c>
      <c r="C17" s="14" t="n">
        <v>39.73138</v>
      </c>
      <c r="D17" s="14" t="n">
        <v>-0.000228</v>
      </c>
      <c r="E17" s="14" t="n">
        <v>0.5662740000000001</v>
      </c>
      <c r="F17" t="n">
        <v>12.73138</v>
      </c>
      <c r="G17" t="n">
        <v>56.125226</v>
      </c>
      <c r="H17" t="n">
        <v>9.400221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39.73138</v>
      </c>
      <c r="Q17" s="9" t="n">
        <v>-0.000228</v>
      </c>
      <c r="R17" s="9" t="n">
        <v>0.5662740000000001</v>
      </c>
      <c r="S17" s="9" t="n">
        <v>12.73138</v>
      </c>
      <c r="T17" s="9" t="n">
        <v>56.125226</v>
      </c>
      <c r="U17" s="9" t="n">
        <v>9.400221</v>
      </c>
    </row>
    <row r="18">
      <c r="A18" s="14" t="n">
        <v>8</v>
      </c>
      <c r="B18" s="14" t="n">
        <v>1200000000</v>
      </c>
      <c r="C18" s="14" t="n">
        <v>39.354741</v>
      </c>
      <c r="D18" s="14" t="n">
        <v>-3.5e-05</v>
      </c>
      <c r="E18" s="14" t="n">
        <v>0.583885</v>
      </c>
      <c r="F18" t="n">
        <v>12.354741</v>
      </c>
      <c r="G18" t="n">
        <v>49.656065</v>
      </c>
      <c r="H18" t="n">
        <v>8.619342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39.354741</v>
      </c>
      <c r="Q18" s="9" t="n">
        <v>-3.5e-05</v>
      </c>
      <c r="R18" s="9" t="n">
        <v>0.583885</v>
      </c>
      <c r="S18" s="9" t="n">
        <v>12.354741</v>
      </c>
      <c r="T18" s="9" t="n">
        <v>49.656065</v>
      </c>
      <c r="U18" s="9" t="n">
        <v>8.619342</v>
      </c>
    </row>
    <row r="19">
      <c r="A19" s="14" t="n">
        <v>9</v>
      </c>
      <c r="B19" s="14" t="n">
        <v>1300000000</v>
      </c>
      <c r="C19" s="14" t="n">
        <v>39.388197</v>
      </c>
      <c r="D19" s="14" t="n">
        <v>-0.000199</v>
      </c>
      <c r="E19" s="14" t="n">
        <v>0.623356</v>
      </c>
      <c r="F19" t="n">
        <v>12.388197</v>
      </c>
      <c r="G19" t="n">
        <v>46.893692</v>
      </c>
      <c r="H19" t="n">
        <v>8.685997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39.388197</v>
      </c>
      <c r="Q19" s="9" t="n">
        <v>-0.000199</v>
      </c>
      <c r="R19" s="9" t="n">
        <v>0.623356</v>
      </c>
      <c r="S19" s="9" t="n">
        <v>12.388197</v>
      </c>
      <c r="T19" s="9" t="n">
        <v>46.893692</v>
      </c>
      <c r="U19" s="9" t="n">
        <v>8.685997</v>
      </c>
    </row>
    <row r="20">
      <c r="A20" s="14" t="n">
        <v>10</v>
      </c>
      <c r="B20" s="14" t="n">
        <v>1400000000</v>
      </c>
      <c r="C20" s="14" t="n">
        <v>39.378244</v>
      </c>
      <c r="D20" s="14" t="n">
        <v>-8.1e-05</v>
      </c>
      <c r="E20" s="14" t="n">
        <v>0.6378819999999999</v>
      </c>
      <c r="F20" t="n">
        <v>12.378244</v>
      </c>
      <c r="G20" t="n">
        <v>45.714492</v>
      </c>
      <c r="H20" t="n">
        <v>8.666112999999999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39.378244</v>
      </c>
      <c r="Q20" s="9" t="n">
        <v>-8.1e-05</v>
      </c>
      <c r="R20" s="9" t="n">
        <v>0.6378819999999999</v>
      </c>
      <c r="S20" s="9" t="n">
        <v>12.378244</v>
      </c>
      <c r="T20" s="9" t="n">
        <v>45.714492</v>
      </c>
      <c r="U20" s="9" t="n">
        <v>8.666112999999999</v>
      </c>
    </row>
    <row r="21">
      <c r="A21" s="14" t="n">
        <v>11</v>
      </c>
      <c r="B21" s="14" t="n">
        <v>1500000000</v>
      </c>
      <c r="C21" s="14" t="n">
        <v>39.348831</v>
      </c>
      <c r="D21" s="14" t="n">
        <v>-0.000146</v>
      </c>
      <c r="E21" s="14" t="n">
        <v>0.654345</v>
      </c>
      <c r="F21" t="n">
        <v>12.348831</v>
      </c>
      <c r="G21" t="n">
        <v>44.245094</v>
      </c>
      <c r="H21" t="n">
        <v>8.607621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39.348831</v>
      </c>
      <c r="Q21" s="9" t="n">
        <v>-0.000146</v>
      </c>
      <c r="R21" s="9" t="n">
        <v>0.654345</v>
      </c>
      <c r="S21" s="9" t="n">
        <v>12.348831</v>
      </c>
      <c r="T21" s="9" t="n">
        <v>44.245094</v>
      </c>
      <c r="U21" s="9" t="n">
        <v>8.607621</v>
      </c>
    </row>
    <row r="22">
      <c r="A22" s="14" t="n">
        <v>12</v>
      </c>
      <c r="B22" s="14" t="n">
        <v>1600000000</v>
      </c>
      <c r="C22" s="14" t="n">
        <v>39.19826</v>
      </c>
      <c r="D22" s="14" t="n">
        <v>-0.000392</v>
      </c>
      <c r="E22" s="14" t="n">
        <v>0.672064</v>
      </c>
      <c r="F22" t="n">
        <v>12.19826</v>
      </c>
      <c r="G22" t="n">
        <v>41.519836</v>
      </c>
      <c r="H22" t="n">
        <v>8.314306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39.19826</v>
      </c>
      <c r="Q22" s="9" t="n">
        <v>-0.000392</v>
      </c>
      <c r="R22" s="9" t="n">
        <v>0.672064</v>
      </c>
      <c r="S22" s="9" t="n">
        <v>12.19826</v>
      </c>
      <c r="T22" s="9" t="n">
        <v>41.519836</v>
      </c>
      <c r="U22" s="9" t="n">
        <v>8.314306</v>
      </c>
    </row>
    <row r="23">
      <c r="A23" s="14" t="n">
        <v>13</v>
      </c>
      <c r="B23" s="14" t="n">
        <v>1700000000</v>
      </c>
      <c r="C23" s="14" t="n">
        <v>39.192436</v>
      </c>
      <c r="D23" s="14" t="n">
        <v>-0.000356</v>
      </c>
      <c r="E23" s="14" t="n">
        <v>0.662391</v>
      </c>
      <c r="F23" t="n">
        <v>12.192436</v>
      </c>
      <c r="G23" t="n">
        <v>42.066085</v>
      </c>
      <c r="H23" t="n">
        <v>8.303163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39.192436</v>
      </c>
      <c r="Q23" s="9" t="n">
        <v>-0.000356</v>
      </c>
      <c r="R23" s="9" t="n">
        <v>0.662391</v>
      </c>
      <c r="S23" s="9" t="n">
        <v>12.192436</v>
      </c>
      <c r="T23" s="9" t="n">
        <v>42.066085</v>
      </c>
      <c r="U23" s="9" t="n">
        <v>8.303163</v>
      </c>
    </row>
    <row r="24">
      <c r="A24" s="14" t="n">
        <v>14</v>
      </c>
      <c r="B24" s="14" t="n">
        <v>1800000000</v>
      </c>
      <c r="C24" s="14" t="n">
        <v>39.493936</v>
      </c>
      <c r="D24" s="14" t="n">
        <v>-0.000416</v>
      </c>
      <c r="E24" s="14" t="n">
        <v>0.646353</v>
      </c>
      <c r="F24" t="n">
        <v>12.493936</v>
      </c>
      <c r="G24" t="n">
        <v>46.408112</v>
      </c>
      <c r="H24" t="n">
        <v>8.900074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39.493936</v>
      </c>
      <c r="Q24" s="9" t="n">
        <v>-0.000416</v>
      </c>
      <c r="R24" s="9" t="n">
        <v>0.646353</v>
      </c>
      <c r="S24" s="9" t="n">
        <v>12.493936</v>
      </c>
      <c r="T24" s="9" t="n">
        <v>46.408112</v>
      </c>
      <c r="U24" s="9" t="n">
        <v>8.900074</v>
      </c>
    </row>
    <row r="25">
      <c r="A25" s="14" t="n">
        <v>15</v>
      </c>
      <c r="B25" s="14" t="n">
        <v>1900000000</v>
      </c>
      <c r="C25" s="14" t="n">
        <v>39.542504</v>
      </c>
      <c r="D25" s="14" t="n">
        <v>6.1e-05</v>
      </c>
      <c r="E25" s="14" t="n">
        <v>0.607999</v>
      </c>
      <c r="F25" t="n">
        <v>12.542504</v>
      </c>
      <c r="G25" t="n">
        <v>49.923594</v>
      </c>
      <c r="H25" t="n">
        <v>9.000165000000001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39.542504</v>
      </c>
      <c r="Q25" s="9" t="n">
        <v>6.1e-05</v>
      </c>
      <c r="R25" s="9" t="n">
        <v>0.607999</v>
      </c>
      <c r="S25" s="9" t="n">
        <v>12.542504</v>
      </c>
      <c r="T25" s="9" t="n">
        <v>49.923594</v>
      </c>
      <c r="U25" s="9" t="n">
        <v>9.000165000000001</v>
      </c>
    </row>
    <row r="26">
      <c r="A26" s="14" t="n">
        <v>16</v>
      </c>
      <c r="B26" s="14" t="n">
        <v>2000000000</v>
      </c>
      <c r="C26" s="14" t="n">
        <v>39.760335</v>
      </c>
      <c r="D26" s="14" t="n">
        <v>6.1e-05</v>
      </c>
      <c r="E26" s="14" t="n">
        <v>0.607968</v>
      </c>
      <c r="F26" t="n">
        <v>12.760335</v>
      </c>
      <c r="G26" t="n">
        <v>52.645563</v>
      </c>
      <c r="H26" t="n">
        <v>9.463103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39.760335</v>
      </c>
      <c r="Q26" s="9" t="n">
        <v>6.1e-05</v>
      </c>
      <c r="R26" s="9" t="n">
        <v>0.607968</v>
      </c>
      <c r="S26" s="9" t="n">
        <v>12.760335</v>
      </c>
      <c r="T26" s="9" t="n">
        <v>52.645563</v>
      </c>
      <c r="U26" s="9" t="n">
        <v>9.463103</v>
      </c>
    </row>
    <row r="27">
      <c r="A27" s="14" t="n">
        <v>17</v>
      </c>
      <c r="B27" s="14" t="n">
        <v>2100000000</v>
      </c>
      <c r="C27" s="14" t="n">
        <v>39.978714</v>
      </c>
      <c r="D27" s="14" t="n">
        <v>5.2e-05</v>
      </c>
      <c r="E27" s="14" t="n">
        <v>0.612259</v>
      </c>
      <c r="F27" t="n">
        <v>12.978714</v>
      </c>
      <c r="G27" t="n">
        <v>55.123252</v>
      </c>
      <c r="H27" t="n">
        <v>9.951108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39.978714</v>
      </c>
      <c r="Q27" s="9" t="n">
        <v>5.2e-05</v>
      </c>
      <c r="R27" s="9" t="n">
        <v>0.612259</v>
      </c>
      <c r="S27" s="9" t="n">
        <v>12.978714</v>
      </c>
      <c r="T27" s="9" t="n">
        <v>55.123252</v>
      </c>
      <c r="U27" s="9" t="n">
        <v>9.951108</v>
      </c>
    </row>
    <row r="28">
      <c r="A28" s="14" t="n">
        <v>18</v>
      </c>
      <c r="B28" s="14" t="n">
        <v>2200000000</v>
      </c>
      <c r="C28" s="14" t="n">
        <v>39.745343</v>
      </c>
      <c r="D28" s="14" t="n">
        <v>-0.000389</v>
      </c>
      <c r="E28" s="14" t="n">
        <v>0.596306</v>
      </c>
      <c r="F28" t="n">
        <v>12.745343</v>
      </c>
      <c r="G28" t="n">
        <v>53.47984</v>
      </c>
      <c r="H28" t="n">
        <v>9.430491999999999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39.745343</v>
      </c>
      <c r="Q28" s="9" t="n">
        <v>-0.000389</v>
      </c>
      <c r="R28" s="9" t="n">
        <v>0.596306</v>
      </c>
      <c r="S28" s="9" t="n">
        <v>12.745343</v>
      </c>
      <c r="T28" s="9" t="n">
        <v>53.47984</v>
      </c>
      <c r="U28" s="9" t="n">
        <v>9.430491999999999</v>
      </c>
    </row>
    <row r="29">
      <c r="A29" s="14" t="n">
        <v>19</v>
      </c>
      <c r="B29" s="14" t="n">
        <v>2300000000</v>
      </c>
      <c r="C29" s="14" t="n">
        <v>40.002204</v>
      </c>
      <c r="D29" s="14" t="n">
        <v>0.00031</v>
      </c>
      <c r="E29" s="14" t="n">
        <v>0.651232</v>
      </c>
      <c r="F29" t="n">
        <v>13.002204</v>
      </c>
      <c r="G29" t="n">
        <v>52.120408</v>
      </c>
      <c r="H29" t="n">
        <v>10.005076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40.002204</v>
      </c>
      <c r="Q29" s="9" t="n">
        <v>0.00031</v>
      </c>
      <c r="R29" s="9" t="n">
        <v>0.651232</v>
      </c>
      <c r="S29" s="9" t="n">
        <v>13.002204</v>
      </c>
      <c r="T29" s="9" t="n">
        <v>52.120408</v>
      </c>
      <c r="U29" s="9" t="n">
        <v>10.005076</v>
      </c>
    </row>
    <row r="30">
      <c r="A30" s="14" t="n">
        <v>20</v>
      </c>
      <c r="B30" s="14" t="n">
        <v>2400000000</v>
      </c>
      <c r="C30" s="14" t="n">
        <v>39.848636</v>
      </c>
      <c r="D30" s="14" t="n">
        <v>0.000338</v>
      </c>
      <c r="E30" s="14" t="n">
        <v>0.649635</v>
      </c>
      <c r="F30" t="n">
        <v>12.848636</v>
      </c>
      <c r="G30" t="n">
        <v>50.33752</v>
      </c>
      <c r="H30" t="n">
        <v>9.657475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39.848636</v>
      </c>
      <c r="Q30" s="9" t="n">
        <v>0.000338</v>
      </c>
      <c r="R30" s="9" t="n">
        <v>0.649635</v>
      </c>
      <c r="S30" s="9" t="n">
        <v>12.848636</v>
      </c>
      <c r="T30" s="9" t="n">
        <v>50.33752</v>
      </c>
      <c r="U30" s="9" t="n">
        <v>9.657475</v>
      </c>
    </row>
    <row r="31">
      <c r="A31" s="14" t="n">
        <v>21</v>
      </c>
      <c r="B31" s="14" t="n">
        <v>2500000000</v>
      </c>
      <c r="C31" s="14" t="n">
        <v>39.69251</v>
      </c>
      <c r="D31" s="14" t="n">
        <v>-0.000264</v>
      </c>
      <c r="E31" s="14" t="n">
        <v>0.650433</v>
      </c>
      <c r="F31" t="n">
        <v>12.69251</v>
      </c>
      <c r="G31" t="n">
        <v>48.403331</v>
      </c>
      <c r="H31" t="n">
        <v>9.316462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39.69251</v>
      </c>
      <c r="Q31" s="9" t="n">
        <v>-0.000264</v>
      </c>
      <c r="R31" s="9" t="n">
        <v>0.650433</v>
      </c>
      <c r="S31" s="9" t="n">
        <v>12.69251</v>
      </c>
      <c r="T31" s="9" t="n">
        <v>48.403331</v>
      </c>
      <c r="U31" s="9" t="n">
        <v>9.316462</v>
      </c>
    </row>
    <row r="32">
      <c r="A32" s="14" t="n">
        <v>22</v>
      </c>
      <c r="B32" s="14" t="n">
        <v>2600000000</v>
      </c>
      <c r="C32" s="14" t="n">
        <v>39.676819</v>
      </c>
      <c r="D32" s="14" t="n">
        <v>-0.000486</v>
      </c>
      <c r="E32" s="14" t="n">
        <v>0.651623</v>
      </c>
      <c r="F32" t="n">
        <v>12.676819</v>
      </c>
      <c r="G32" t="n">
        <v>48.130772</v>
      </c>
      <c r="H32" t="n">
        <v>9.282862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39.676819</v>
      </c>
      <c r="Q32" s="9" t="n">
        <v>-0.000486</v>
      </c>
      <c r="R32" s="9" t="n">
        <v>0.651623</v>
      </c>
      <c r="S32" s="9" t="n">
        <v>12.676819</v>
      </c>
      <c r="T32" s="9" t="n">
        <v>48.130772</v>
      </c>
      <c r="U32" s="9" t="n">
        <v>9.282862</v>
      </c>
    </row>
    <row r="33">
      <c r="A33" s="14" t="n">
        <v>23</v>
      </c>
      <c r="B33" s="14" t="n">
        <v>2700000000</v>
      </c>
      <c r="C33" s="14" t="n">
        <v>39.716545</v>
      </c>
      <c r="D33" s="14" t="n">
        <v>0.000306</v>
      </c>
      <c r="E33" s="14" t="n">
        <v>0.677558</v>
      </c>
      <c r="F33" t="n">
        <v>12.716545</v>
      </c>
      <c r="G33" t="n">
        <v>46.738135</v>
      </c>
      <c r="H33" t="n">
        <v>9.368164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39.716545</v>
      </c>
      <c r="Q33" s="9" t="n">
        <v>0.000306</v>
      </c>
      <c r="R33" s="9" t="n">
        <v>0.677558</v>
      </c>
      <c r="S33" s="9" t="n">
        <v>12.716545</v>
      </c>
      <c r="T33" s="9" t="n">
        <v>46.738135</v>
      </c>
      <c r="U33" s="9" t="n">
        <v>9.368164</v>
      </c>
    </row>
    <row r="34">
      <c r="A34" s="14" t="n">
        <v>24</v>
      </c>
      <c r="B34" s="14" t="n">
        <v>2800000000</v>
      </c>
      <c r="C34" s="14" t="n">
        <v>39.442092</v>
      </c>
      <c r="D34" s="14" t="n">
        <v>-0.000169</v>
      </c>
      <c r="E34" s="14" t="n">
        <v>0.687141</v>
      </c>
      <c r="F34" t="n">
        <v>12.442092</v>
      </c>
      <c r="G34" t="n">
        <v>43.104455</v>
      </c>
      <c r="H34" t="n">
        <v>8.794461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39.442092</v>
      </c>
      <c r="Q34" s="9" t="n">
        <v>-0.000169</v>
      </c>
      <c r="R34" s="9" t="n">
        <v>0.687141</v>
      </c>
      <c r="S34" s="9" t="n">
        <v>12.442092</v>
      </c>
      <c r="T34" s="9" t="n">
        <v>43.104455</v>
      </c>
      <c r="U34" s="9" t="n">
        <v>8.794461</v>
      </c>
    </row>
    <row r="35">
      <c r="A35" s="14" t="n">
        <v>25</v>
      </c>
      <c r="B35" s="14" t="n">
        <v>2900000000</v>
      </c>
      <c r="C35" s="14" t="n">
        <v>39.116472</v>
      </c>
      <c r="D35" s="14" t="n">
        <v>-0.000138</v>
      </c>
      <c r="E35" s="14" t="n">
        <v>0.708081</v>
      </c>
      <c r="F35" t="n">
        <v>12.116472</v>
      </c>
      <c r="G35" t="n">
        <v>38.625565</v>
      </c>
      <c r="H35" t="n">
        <v>8.159191999999999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39.116472</v>
      </c>
      <c r="Q35" s="9" t="n">
        <v>-0.000138</v>
      </c>
      <c r="R35" s="9" t="n">
        <v>0.708081</v>
      </c>
      <c r="S35" s="9" t="n">
        <v>12.116472</v>
      </c>
      <c r="T35" s="9" t="n">
        <v>38.625565</v>
      </c>
      <c r="U35" s="9" t="n">
        <v>8.159191999999999</v>
      </c>
    </row>
    <row r="36">
      <c r="A36" s="14" t="n">
        <v>26</v>
      </c>
      <c r="B36" s="14" t="n">
        <v>3000000000</v>
      </c>
      <c r="C36" s="14" t="n">
        <v>39.13491</v>
      </c>
      <c r="D36" s="14" t="n">
        <v>-0.000477</v>
      </c>
      <c r="E36" s="14" t="n">
        <v>0.704626</v>
      </c>
      <c r="F36" t="n">
        <v>12.13491</v>
      </c>
      <c r="G36" t="n">
        <v>38.99092</v>
      </c>
      <c r="H36" t="n">
        <v>8.193906999999999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39.13491</v>
      </c>
      <c r="Q36" s="9" t="n">
        <v>-0.000477</v>
      </c>
      <c r="R36" s="9" t="n">
        <v>0.704626</v>
      </c>
      <c r="S36" s="9" t="n">
        <v>12.13491</v>
      </c>
      <c r="T36" s="9" t="n">
        <v>38.99092</v>
      </c>
      <c r="U36" s="9" t="n">
        <v>8.193906999999999</v>
      </c>
    </row>
    <row r="37">
      <c r="A37" s="14" t="n">
        <v>27</v>
      </c>
      <c r="B37" s="14" t="n">
        <v>3100000000</v>
      </c>
      <c r="C37" s="14" t="n">
        <v>38.898478</v>
      </c>
      <c r="D37" s="14" t="n">
        <v>-0.000241</v>
      </c>
      <c r="E37" s="14" t="n">
        <v>0.721857</v>
      </c>
      <c r="F37" t="n">
        <v>11.898478</v>
      </c>
      <c r="G37" t="n">
        <v>35.912155</v>
      </c>
      <c r="H37" t="n">
        <v>7.759751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38.898478</v>
      </c>
      <c r="Q37" s="9" t="n">
        <v>-0.000241</v>
      </c>
      <c r="R37" s="9" t="n">
        <v>0.721857</v>
      </c>
      <c r="S37" s="9" t="n">
        <v>11.898478</v>
      </c>
      <c r="T37" s="9" t="n">
        <v>35.912155</v>
      </c>
      <c r="U37" s="9" t="n">
        <v>7.759751</v>
      </c>
    </row>
    <row r="38">
      <c r="A38" s="14" t="n">
        <v>28</v>
      </c>
      <c r="B38" s="14" t="n">
        <v>3200000000</v>
      </c>
      <c r="C38" s="14" t="n">
        <v>38.908581</v>
      </c>
      <c r="D38" s="14" t="n">
        <v>0.000445</v>
      </c>
      <c r="E38" s="14" t="n">
        <v>0.741818</v>
      </c>
      <c r="F38" t="n">
        <v>11.908581</v>
      </c>
      <c r="G38" t="n">
        <v>35.032831</v>
      </c>
      <c r="H38" t="n">
        <v>7.777823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38.908581</v>
      </c>
      <c r="Q38" s="9" t="n">
        <v>0.000445</v>
      </c>
      <c r="R38" s="9" t="n">
        <v>0.741818</v>
      </c>
      <c r="S38" s="9" t="n">
        <v>11.908581</v>
      </c>
      <c r="T38" s="9" t="n">
        <v>35.032831</v>
      </c>
      <c r="U38" s="9" t="n">
        <v>7.777823</v>
      </c>
    </row>
    <row r="39">
      <c r="A39" s="14" t="n">
        <v>29</v>
      </c>
      <c r="B39" s="14" t="n">
        <v>3300000000</v>
      </c>
      <c r="C39" s="14" t="n">
        <v>38.804912</v>
      </c>
      <c r="D39" s="14" t="n">
        <v>-0.000155</v>
      </c>
      <c r="E39" s="14" t="n">
        <v>0.733328</v>
      </c>
      <c r="F39" t="n">
        <v>11.804912</v>
      </c>
      <c r="G39" t="n">
        <v>34.544931</v>
      </c>
      <c r="H39" t="n">
        <v>7.59436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38.804912</v>
      </c>
      <c r="Q39" s="9" t="n">
        <v>-0.000155</v>
      </c>
      <c r="R39" s="9" t="n">
        <v>0.733328</v>
      </c>
      <c r="S39" s="9" t="n">
        <v>11.804912</v>
      </c>
      <c r="T39" s="9" t="n">
        <v>34.544931</v>
      </c>
      <c r="U39" s="9" t="n">
        <v>7.59436</v>
      </c>
    </row>
    <row r="40">
      <c r="A40" s="14" t="n">
        <v>30</v>
      </c>
      <c r="B40" s="14" t="n">
        <v>3400000000</v>
      </c>
      <c r="C40" s="14" t="n">
        <v>38.492509</v>
      </c>
      <c r="D40" s="14" t="n">
        <v>-3.5e-05</v>
      </c>
      <c r="E40" s="14" t="n">
        <v>0.745491</v>
      </c>
      <c r="F40" t="n">
        <v>11.492509</v>
      </c>
      <c r="G40" t="n">
        <v>31.456113</v>
      </c>
      <c r="H40" t="n">
        <v>7.067257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38.492509</v>
      </c>
      <c r="Q40" s="9" t="n">
        <v>-3.5e-05</v>
      </c>
      <c r="R40" s="9" t="n">
        <v>0.745491</v>
      </c>
      <c r="S40" s="9" t="n">
        <v>11.492509</v>
      </c>
      <c r="T40" s="9" t="n">
        <v>31.456113</v>
      </c>
      <c r="U40" s="9" t="n">
        <v>7.067257</v>
      </c>
    </row>
    <row r="41">
      <c r="A41" s="14" t="n">
        <v>31</v>
      </c>
      <c r="B41" s="14" t="n">
        <v>3500000000</v>
      </c>
      <c r="C41" s="14" t="n">
        <v>38.338713</v>
      </c>
      <c r="D41" s="14" t="n">
        <v>2.1e-05</v>
      </c>
      <c r="E41" s="14" t="n">
        <v>0.765479</v>
      </c>
      <c r="F41" t="n">
        <v>11.338713</v>
      </c>
      <c r="G41" t="n">
        <v>29.487516</v>
      </c>
      <c r="H41" t="n">
        <v>6.821365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38.338713</v>
      </c>
      <c r="Q41" s="9" t="n">
        <v>2.1e-05</v>
      </c>
      <c r="R41" s="9" t="n">
        <v>0.765479</v>
      </c>
      <c r="S41" s="9" t="n">
        <v>11.338713</v>
      </c>
      <c r="T41" s="9" t="n">
        <v>29.487516</v>
      </c>
      <c r="U41" s="9" t="n">
        <v>6.821365</v>
      </c>
    </row>
    <row r="42">
      <c r="A42" s="14" t="n">
        <v>32</v>
      </c>
      <c r="B42" s="14" t="n">
        <v>3600000000</v>
      </c>
      <c r="C42" s="14" t="n">
        <v>38.343316</v>
      </c>
      <c r="D42" s="14" t="n">
        <v>-0.00033</v>
      </c>
      <c r="E42" s="14" t="n">
        <v>0.766055</v>
      </c>
      <c r="F42" t="n">
        <v>11.343316</v>
      </c>
      <c r="G42" t="n">
        <v>29.499043</v>
      </c>
      <c r="H42" t="n">
        <v>6.828599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38.343316</v>
      </c>
      <c r="Q42" s="9" t="n">
        <v>-0.00033</v>
      </c>
      <c r="R42" s="9" t="n">
        <v>0.766055</v>
      </c>
      <c r="S42" s="9" t="n">
        <v>11.343316</v>
      </c>
      <c r="T42" s="9" t="n">
        <v>29.499043</v>
      </c>
      <c r="U42" s="9" t="n">
        <v>6.828599</v>
      </c>
    </row>
    <row r="43">
      <c r="A43" s="14" t="n">
        <v>33</v>
      </c>
      <c r="B43" s="14" t="n">
        <v>3700000000</v>
      </c>
      <c r="C43" s="14" t="n">
        <v>38.606446</v>
      </c>
      <c r="D43" s="14" t="n">
        <v>-0.000257</v>
      </c>
      <c r="E43" s="14" t="n">
        <v>0.763494</v>
      </c>
      <c r="F43" t="n">
        <v>11.606446</v>
      </c>
      <c r="G43" t="n">
        <v>31.593162</v>
      </c>
      <c r="H43" t="n">
        <v>7.25512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38.606446</v>
      </c>
      <c r="Q43" s="9" t="n">
        <v>-0.000257</v>
      </c>
      <c r="R43" s="9" t="n">
        <v>0.763494</v>
      </c>
      <c r="S43" s="9" t="n">
        <v>11.606446</v>
      </c>
      <c r="T43" s="9" t="n">
        <v>31.593162</v>
      </c>
      <c r="U43" s="9" t="n">
        <v>7.25512</v>
      </c>
    </row>
    <row r="44">
      <c r="A44" s="14" t="n">
        <v>34</v>
      </c>
      <c r="B44" s="14" t="n">
        <v>3800000000</v>
      </c>
      <c r="C44" s="14" t="n">
        <v>38.621993</v>
      </c>
      <c r="D44" s="14" t="n">
        <v>-0.000134</v>
      </c>
      <c r="E44" s="14" t="n">
        <v>0.775352</v>
      </c>
      <c r="F44" t="n">
        <v>11.621993</v>
      </c>
      <c r="G44" t="n">
        <v>31.229841</v>
      </c>
      <c r="H44" t="n">
        <v>7.281138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38.621993</v>
      </c>
      <c r="Q44" s="9" t="n">
        <v>-0.000134</v>
      </c>
      <c r="R44" s="9" t="n">
        <v>0.775352</v>
      </c>
      <c r="S44" s="9" t="n">
        <v>11.621993</v>
      </c>
      <c r="T44" s="9" t="n">
        <v>31.229841</v>
      </c>
      <c r="U44" s="9" t="n">
        <v>7.281138</v>
      </c>
    </row>
    <row r="45">
      <c r="A45" s="14" t="n">
        <v>35</v>
      </c>
      <c r="B45" s="14" t="n">
        <v>3900000000</v>
      </c>
      <c r="C45" s="14" t="n">
        <v>38.758804</v>
      </c>
      <c r="D45" s="14" t="n">
        <v>-0.000494</v>
      </c>
      <c r="E45" s="14" t="n">
        <v>0.76527</v>
      </c>
      <c r="F45" t="n">
        <v>11.758804</v>
      </c>
      <c r="G45" t="n">
        <v>32.728733</v>
      </c>
      <c r="H45" t="n">
        <v>7.514159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38.758804</v>
      </c>
      <c r="Q45" s="9" t="n">
        <v>-0.000494</v>
      </c>
      <c r="R45" s="9" t="n">
        <v>0.76527</v>
      </c>
      <c r="S45" s="9" t="n">
        <v>11.758804</v>
      </c>
      <c r="T45" s="9" t="n">
        <v>32.728733</v>
      </c>
      <c r="U45" s="9" t="n">
        <v>7.514159</v>
      </c>
    </row>
    <row r="46">
      <c r="A46" s="14" t="n">
        <v>36</v>
      </c>
      <c r="B46" s="14" t="n">
        <v>4000000000</v>
      </c>
      <c r="C46" s="14" t="n">
        <v>38.586855</v>
      </c>
      <c r="D46" s="14" t="n">
        <v>-0.00041</v>
      </c>
      <c r="E46" s="14" t="n">
        <v>0.764148</v>
      </c>
      <c r="F46" t="n">
        <v>11.586855</v>
      </c>
      <c r="G46" t="n">
        <v>31.413486</v>
      </c>
      <c r="H46" t="n">
        <v>7.222466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38.586855</v>
      </c>
      <c r="Q46" s="9" t="n">
        <v>-0.00041</v>
      </c>
      <c r="R46" s="9" t="n">
        <v>0.764148</v>
      </c>
      <c r="S46" s="9" t="n">
        <v>11.586855</v>
      </c>
      <c r="T46" s="9" t="n">
        <v>31.413486</v>
      </c>
      <c r="U46" s="9" t="n">
        <v>7.222466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18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20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80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650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33.451363</v>
      </c>
      <c r="D11" s="14" t="n">
        <v>-0.000256</v>
      </c>
      <c r="E11" s="14" t="n">
        <v>0.140557</v>
      </c>
      <c r="F11" t="n">
        <v>15.451363</v>
      </c>
      <c r="G11" t="n">
        <v>5.464716</v>
      </c>
      <c r="H11" t="n">
        <v>2.21379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33.451363</v>
      </c>
      <c r="Q11" s="9" t="n">
        <v>-0.000256</v>
      </c>
      <c r="R11" s="9" t="n">
        <v>0.140557</v>
      </c>
      <c r="S11" s="9" t="n">
        <v>15.451363</v>
      </c>
      <c r="T11" s="9" t="n">
        <v>5.464716</v>
      </c>
      <c r="U11" s="9" t="n">
        <v>2.21379</v>
      </c>
    </row>
    <row r="12">
      <c r="A12" s="14" t="n">
        <v>2</v>
      </c>
      <c r="B12" s="14" t="n">
        <v>600000000</v>
      </c>
      <c r="C12" s="14" t="n">
        <v>34.914521</v>
      </c>
      <c r="D12" s="14" t="n">
        <v>-0.000419</v>
      </c>
      <c r="E12" s="14" t="n">
        <v>0.126957</v>
      </c>
      <c r="F12" t="n">
        <v>16.914521</v>
      </c>
      <c r="G12" t="n">
        <v>8.544929</v>
      </c>
      <c r="H12" t="n">
        <v>3.100646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34.914521</v>
      </c>
      <c r="Q12" s="9" t="n">
        <v>-0.000419</v>
      </c>
      <c r="R12" s="9" t="n">
        <v>0.126957</v>
      </c>
      <c r="S12" s="9" t="n">
        <v>16.914521</v>
      </c>
      <c r="T12" s="9" t="n">
        <v>8.544929</v>
      </c>
      <c r="U12" s="9" t="n">
        <v>3.100646</v>
      </c>
    </row>
    <row r="13">
      <c r="A13" s="14" t="n">
        <v>3</v>
      </c>
      <c r="B13" s="14" t="n">
        <v>700000000</v>
      </c>
      <c r="C13" s="14" t="n">
        <v>36.150106</v>
      </c>
      <c r="D13" s="14" t="n">
        <v>-0.000303</v>
      </c>
      <c r="E13" s="14" t="n">
        <v>0.114373</v>
      </c>
      <c r="F13" t="n">
        <v>18.150106</v>
      </c>
      <c r="G13" t="n">
        <v>12.671496</v>
      </c>
      <c r="H13" t="n">
        <v>4.121076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36.150106</v>
      </c>
      <c r="Q13" s="9" t="n">
        <v>-0.000303</v>
      </c>
      <c r="R13" s="9" t="n">
        <v>0.114373</v>
      </c>
      <c r="S13" s="9" t="n">
        <v>18.150106</v>
      </c>
      <c r="T13" s="9" t="n">
        <v>12.671496</v>
      </c>
      <c r="U13" s="9" t="n">
        <v>4.121076</v>
      </c>
    </row>
    <row r="14">
      <c r="A14" s="14" t="n">
        <v>4</v>
      </c>
      <c r="B14" s="14" t="n">
        <v>800000000</v>
      </c>
      <c r="C14" s="14" t="n">
        <v>36.60595</v>
      </c>
      <c r="D14" s="14" t="n">
        <v>-0.000326</v>
      </c>
      <c r="E14" s="14" t="n">
        <v>0.110023</v>
      </c>
      <c r="F14" t="n">
        <v>18.60595</v>
      </c>
      <c r="G14" t="n">
        <v>14.652927</v>
      </c>
      <c r="H14" t="n">
        <v>4.577148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36.60595</v>
      </c>
      <c r="Q14" s="9" t="n">
        <v>-0.000326</v>
      </c>
      <c r="R14" s="9" t="n">
        <v>0.110023</v>
      </c>
      <c r="S14" s="9" t="n">
        <v>18.60595</v>
      </c>
      <c r="T14" s="9" t="n">
        <v>14.652927</v>
      </c>
      <c r="U14" s="9" t="n">
        <v>4.577148</v>
      </c>
    </row>
    <row r="15">
      <c r="A15" s="14" t="n">
        <v>5</v>
      </c>
      <c r="B15" s="14" t="n">
        <v>900000000</v>
      </c>
      <c r="C15" s="14" t="n">
        <v>36.992639</v>
      </c>
      <c r="D15" s="14" t="n">
        <v>-1.9e-05</v>
      </c>
      <c r="E15" s="14" t="n">
        <v>0.105608</v>
      </c>
      <c r="F15" t="n">
        <v>18.992639</v>
      </c>
      <c r="G15" t="n">
        <v>16.706887</v>
      </c>
      <c r="H15" t="n">
        <v>5.003385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36.992639</v>
      </c>
      <c r="Q15" s="9" t="n">
        <v>-1.9e-05</v>
      </c>
      <c r="R15" s="9" t="n">
        <v>0.105608</v>
      </c>
      <c r="S15" s="9" t="n">
        <v>18.992639</v>
      </c>
      <c r="T15" s="9" t="n">
        <v>16.706887</v>
      </c>
      <c r="U15" s="9" t="n">
        <v>5.003385</v>
      </c>
    </row>
    <row r="16">
      <c r="A16" s="14" t="n">
        <v>6</v>
      </c>
      <c r="B16" s="14" t="n">
        <v>1000000000</v>
      </c>
      <c r="C16" s="14" t="n">
        <v>37.231855</v>
      </c>
      <c r="D16" s="14" t="n">
        <v>-0.000222</v>
      </c>
      <c r="E16" s="14" t="n">
        <v>0.103973</v>
      </c>
      <c r="F16" t="n">
        <v>19.231855</v>
      </c>
      <c r="G16" t="n">
        <v>17.942915</v>
      </c>
      <c r="H16" t="n">
        <v>5.28671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37.231855</v>
      </c>
      <c r="Q16" s="9" t="n">
        <v>-0.000222</v>
      </c>
      <c r="R16" s="9" t="n">
        <v>0.103973</v>
      </c>
      <c r="S16" s="9" t="n">
        <v>19.231855</v>
      </c>
      <c r="T16" s="9" t="n">
        <v>17.942915</v>
      </c>
      <c r="U16" s="9" t="n">
        <v>5.28671</v>
      </c>
    </row>
    <row r="17">
      <c r="A17" s="14" t="n">
        <v>7</v>
      </c>
      <c r="B17" s="14" t="n">
        <v>1100000000</v>
      </c>
      <c r="C17" s="14" t="n">
        <v>37.763866</v>
      </c>
      <c r="D17" s="14" t="n">
        <v>-0.000105</v>
      </c>
      <c r="E17" s="14" t="n">
        <v>0.104334</v>
      </c>
      <c r="F17" t="n">
        <v>19.763866</v>
      </c>
      <c r="G17" t="n">
        <v>20.239108</v>
      </c>
      <c r="H17" t="n">
        <v>5.975669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37.763866</v>
      </c>
      <c r="Q17" s="9" t="n">
        <v>-0.000105</v>
      </c>
      <c r="R17" s="9" t="n">
        <v>0.104334</v>
      </c>
      <c r="S17" s="9" t="n">
        <v>19.763866</v>
      </c>
      <c r="T17" s="9" t="n">
        <v>20.239108</v>
      </c>
      <c r="U17" s="9" t="n">
        <v>5.975669</v>
      </c>
    </row>
    <row r="18">
      <c r="A18" s="14" t="n">
        <v>8</v>
      </c>
      <c r="B18" s="14" t="n">
        <v>1200000000</v>
      </c>
      <c r="C18" s="14" t="n">
        <v>37.954655</v>
      </c>
      <c r="D18" s="14" t="n">
        <v>-0.000136</v>
      </c>
      <c r="E18" s="14" t="n">
        <v>0.105675</v>
      </c>
      <c r="F18" t="n">
        <v>19.954655</v>
      </c>
      <c r="G18" t="n">
        <v>20.889228</v>
      </c>
      <c r="H18" t="n">
        <v>6.244037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37.954655</v>
      </c>
      <c r="Q18" s="9" t="n">
        <v>-0.000136</v>
      </c>
      <c r="R18" s="9" t="n">
        <v>0.105675</v>
      </c>
      <c r="S18" s="9" t="n">
        <v>19.954655</v>
      </c>
      <c r="T18" s="9" t="n">
        <v>20.889228</v>
      </c>
      <c r="U18" s="9" t="n">
        <v>6.244037</v>
      </c>
    </row>
    <row r="19">
      <c r="A19" s="14" t="n">
        <v>9</v>
      </c>
      <c r="B19" s="14" t="n">
        <v>1300000000</v>
      </c>
      <c r="C19" s="14" t="n">
        <v>38.44305</v>
      </c>
      <c r="D19" s="14" t="n">
        <v>-0.000332</v>
      </c>
      <c r="E19" s="14" t="n">
        <v>0.111184</v>
      </c>
      <c r="F19" t="n">
        <v>20.44305</v>
      </c>
      <c r="G19" t="n">
        <v>22.24152</v>
      </c>
      <c r="H19" t="n">
        <v>6.987229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38.44305</v>
      </c>
      <c r="Q19" s="9" t="n">
        <v>-0.000332</v>
      </c>
      <c r="R19" s="9" t="n">
        <v>0.111184</v>
      </c>
      <c r="S19" s="9" t="n">
        <v>20.44305</v>
      </c>
      <c r="T19" s="9" t="n">
        <v>22.24152</v>
      </c>
      <c r="U19" s="9" t="n">
        <v>6.987229</v>
      </c>
    </row>
    <row r="20">
      <c r="A20" s="14" t="n">
        <v>10</v>
      </c>
      <c r="B20" s="14" t="n">
        <v>1400000000</v>
      </c>
      <c r="C20" s="14" t="n">
        <v>39.137877</v>
      </c>
      <c r="D20" s="14" t="n">
        <v>-0.000144</v>
      </c>
      <c r="E20" s="14" t="n">
        <v>0.11997</v>
      </c>
      <c r="F20" t="n">
        <v>21.137877</v>
      </c>
      <c r="G20" t="n">
        <v>24.221634</v>
      </c>
      <c r="H20" t="n">
        <v>8.199507000000001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39.137877</v>
      </c>
      <c r="Q20" s="9" t="n">
        <v>-0.000144</v>
      </c>
      <c r="R20" s="9" t="n">
        <v>0.11997</v>
      </c>
      <c r="S20" s="9" t="n">
        <v>21.137877</v>
      </c>
      <c r="T20" s="9" t="n">
        <v>24.221634</v>
      </c>
      <c r="U20" s="9" t="n">
        <v>8.199507000000001</v>
      </c>
    </row>
    <row r="21">
      <c r="A21" s="14" t="n">
        <v>11</v>
      </c>
      <c r="B21" s="14" t="n">
        <v>1500000000</v>
      </c>
      <c r="C21" s="14" t="n">
        <v>39.810348</v>
      </c>
      <c r="D21" s="14" t="n">
        <v>-0.000342</v>
      </c>
      <c r="E21" s="14" t="n">
        <v>0.128021</v>
      </c>
      <c r="F21" t="n">
        <v>21.810348</v>
      </c>
      <c r="G21" t="n">
        <v>26.529186</v>
      </c>
      <c r="H21" t="n">
        <v>9.572708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39.810348</v>
      </c>
      <c r="Q21" s="9" t="n">
        <v>-0.000342</v>
      </c>
      <c r="R21" s="9" t="n">
        <v>0.128021</v>
      </c>
      <c r="S21" s="9" t="n">
        <v>21.810348</v>
      </c>
      <c r="T21" s="9" t="n">
        <v>26.529186</v>
      </c>
      <c r="U21" s="9" t="n">
        <v>9.572708</v>
      </c>
    </row>
    <row r="22">
      <c r="A22" s="14" t="n">
        <v>12</v>
      </c>
      <c r="B22" s="14" t="n">
        <v>1600000000</v>
      </c>
      <c r="C22" s="14" t="n">
        <v>40.270125</v>
      </c>
      <c r="D22" s="14" t="n">
        <v>-0.000197</v>
      </c>
      <c r="E22" s="14" t="n">
        <v>0.131321</v>
      </c>
      <c r="F22" t="n">
        <v>22.270125</v>
      </c>
      <c r="G22" t="n">
        <v>28.76975</v>
      </c>
      <c r="H22" t="n">
        <v>10.641736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40.270125</v>
      </c>
      <c r="Q22" s="9" t="n">
        <v>-0.000197</v>
      </c>
      <c r="R22" s="9" t="n">
        <v>0.131321</v>
      </c>
      <c r="S22" s="9" t="n">
        <v>22.270125</v>
      </c>
      <c r="T22" s="9" t="n">
        <v>28.76975</v>
      </c>
      <c r="U22" s="9" t="n">
        <v>10.641736</v>
      </c>
    </row>
    <row r="23">
      <c r="A23" s="14" t="n">
        <v>13</v>
      </c>
      <c r="B23" s="14" t="n">
        <v>1700000000</v>
      </c>
      <c r="C23" s="14" t="n">
        <v>40.323707</v>
      </c>
      <c r="D23" s="14" t="n">
        <v>-0.000308</v>
      </c>
      <c r="E23" s="14" t="n">
        <v>0.13472</v>
      </c>
      <c r="F23" t="n">
        <v>22.323707</v>
      </c>
      <c r="G23" t="n">
        <v>28.394271</v>
      </c>
      <c r="H23" t="n">
        <v>10.773844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40.323707</v>
      </c>
      <c r="Q23" s="9" t="n">
        <v>-0.000308</v>
      </c>
      <c r="R23" s="9" t="n">
        <v>0.13472</v>
      </c>
      <c r="S23" s="9" t="n">
        <v>22.323707</v>
      </c>
      <c r="T23" s="9" t="n">
        <v>28.394271</v>
      </c>
      <c r="U23" s="9" t="n">
        <v>10.773844</v>
      </c>
    </row>
    <row r="24">
      <c r="A24" s="14" t="n">
        <v>14</v>
      </c>
      <c r="B24" s="14" t="n">
        <v>1800000000</v>
      </c>
      <c r="C24" s="14" t="n">
        <v>40.554607</v>
      </c>
      <c r="D24" s="14" t="n">
        <v>-0.000172</v>
      </c>
      <c r="E24" s="14" t="n">
        <v>0.137759</v>
      </c>
      <c r="F24" t="n">
        <v>22.554607</v>
      </c>
      <c r="G24" t="n">
        <v>29.293103</v>
      </c>
      <c r="H24" t="n">
        <v>11.362154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40.554607</v>
      </c>
      <c r="Q24" s="9" t="n">
        <v>-0.000172</v>
      </c>
      <c r="R24" s="9" t="n">
        <v>0.137759</v>
      </c>
      <c r="S24" s="9" t="n">
        <v>22.554607</v>
      </c>
      <c r="T24" s="9" t="n">
        <v>29.293103</v>
      </c>
      <c r="U24" s="9" t="n">
        <v>11.362154</v>
      </c>
    </row>
    <row r="25">
      <c r="A25" s="14" t="n">
        <v>15</v>
      </c>
      <c r="B25" s="14" t="n">
        <v>1900000000</v>
      </c>
      <c r="C25" s="14" t="n">
        <v>40.454893</v>
      </c>
      <c r="D25" s="14" t="n">
        <v>3.9e-05</v>
      </c>
      <c r="E25" s="14" t="n">
        <v>0.140755</v>
      </c>
      <c r="F25" t="n">
        <v>22.454893</v>
      </c>
      <c r="G25" t="n">
        <v>28.015068</v>
      </c>
      <c r="H25" t="n">
        <v>11.104251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40.454893</v>
      </c>
      <c r="Q25" s="9" t="n">
        <v>3.9e-05</v>
      </c>
      <c r="R25" s="9" t="n">
        <v>0.140755</v>
      </c>
      <c r="S25" s="9" t="n">
        <v>22.454893</v>
      </c>
      <c r="T25" s="9" t="n">
        <v>28.015068</v>
      </c>
      <c r="U25" s="9" t="n">
        <v>11.104251</v>
      </c>
    </row>
    <row r="26">
      <c r="A26" s="14" t="n">
        <v>16</v>
      </c>
      <c r="B26" s="14" t="n">
        <v>2000000000</v>
      </c>
      <c r="C26" s="14" t="n">
        <v>40.776413</v>
      </c>
      <c r="D26" s="14" t="n">
        <v>-0.000256</v>
      </c>
      <c r="E26" s="14" t="n">
        <v>0.145138</v>
      </c>
      <c r="F26" t="n">
        <v>22.776413</v>
      </c>
      <c r="G26" t="n">
        <v>29.268788</v>
      </c>
      <c r="H26" t="n">
        <v>11.957524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40.776413</v>
      </c>
      <c r="Q26" s="9" t="n">
        <v>-0.000256</v>
      </c>
      <c r="R26" s="9" t="n">
        <v>0.145138</v>
      </c>
      <c r="S26" s="9" t="n">
        <v>22.776413</v>
      </c>
      <c r="T26" s="9" t="n">
        <v>29.268788</v>
      </c>
      <c r="U26" s="9" t="n">
        <v>11.957524</v>
      </c>
    </row>
    <row r="27">
      <c r="A27" s="14" t="n">
        <v>17</v>
      </c>
      <c r="B27" s="14" t="n">
        <v>2100000000</v>
      </c>
      <c r="C27" s="14" t="n">
        <v>40.736191</v>
      </c>
      <c r="D27" s="14" t="n">
        <v>-0.00022</v>
      </c>
      <c r="E27" s="14" t="n">
        <v>0.141284</v>
      </c>
      <c r="F27" t="n">
        <v>22.736191</v>
      </c>
      <c r="G27" t="n">
        <v>29.788588</v>
      </c>
      <c r="H27" t="n">
        <v>11.847292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40.736191</v>
      </c>
      <c r="Q27" s="9" t="n">
        <v>-0.00022</v>
      </c>
      <c r="R27" s="9" t="n">
        <v>0.141284</v>
      </c>
      <c r="S27" s="9" t="n">
        <v>22.736191</v>
      </c>
      <c r="T27" s="9" t="n">
        <v>29.788588</v>
      </c>
      <c r="U27" s="9" t="n">
        <v>11.847292</v>
      </c>
    </row>
    <row r="28">
      <c r="A28" s="14" t="n">
        <v>18</v>
      </c>
      <c r="B28" s="14" t="n">
        <v>2200000000</v>
      </c>
      <c r="C28" s="14" t="n">
        <v>40.156004</v>
      </c>
      <c r="D28" s="14" t="n">
        <v>0.000196</v>
      </c>
      <c r="E28" s="14" t="n">
        <v>0.136658</v>
      </c>
      <c r="F28" t="n">
        <v>22.156004</v>
      </c>
      <c r="G28" t="n">
        <v>26.925035</v>
      </c>
      <c r="H28" t="n">
        <v>10.365743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40.156004</v>
      </c>
      <c r="Q28" s="9" t="n">
        <v>0.000196</v>
      </c>
      <c r="R28" s="9" t="n">
        <v>0.136658</v>
      </c>
      <c r="S28" s="9" t="n">
        <v>22.156004</v>
      </c>
      <c r="T28" s="9" t="n">
        <v>26.925035</v>
      </c>
      <c r="U28" s="9" t="n">
        <v>10.365743</v>
      </c>
    </row>
    <row r="29">
      <c r="A29" s="14" t="n">
        <v>19</v>
      </c>
      <c r="B29" s="14" t="n">
        <v>2300000000</v>
      </c>
      <c r="C29" s="14" t="n">
        <v>39.832607</v>
      </c>
      <c r="D29" s="14" t="n">
        <v>2.5e-05</v>
      </c>
      <c r="E29" s="14" t="n">
        <v>0.133175</v>
      </c>
      <c r="F29" t="n">
        <v>21.832607</v>
      </c>
      <c r="G29" t="n">
        <v>25.634364</v>
      </c>
      <c r="H29" t="n">
        <v>9.621897000000001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39.832607</v>
      </c>
      <c r="Q29" s="9" t="n">
        <v>2.5e-05</v>
      </c>
      <c r="R29" s="9" t="n">
        <v>0.133175</v>
      </c>
      <c r="S29" s="9" t="n">
        <v>21.832607</v>
      </c>
      <c r="T29" s="9" t="n">
        <v>25.634364</v>
      </c>
      <c r="U29" s="9" t="n">
        <v>9.621897000000001</v>
      </c>
    </row>
    <row r="30">
      <c r="A30" s="14" t="n">
        <v>20</v>
      </c>
      <c r="B30" s="14" t="n">
        <v>2400000000</v>
      </c>
      <c r="C30" s="14" t="n">
        <v>39.305204</v>
      </c>
      <c r="D30" s="14" t="n">
        <v>-0.00017</v>
      </c>
      <c r="E30" s="14" t="n">
        <v>0.130168</v>
      </c>
      <c r="F30" t="n">
        <v>21.305204</v>
      </c>
      <c r="G30" t="n">
        <v>23.207608</v>
      </c>
      <c r="H30" t="n">
        <v>8.521584000000001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39.305204</v>
      </c>
      <c r="Q30" s="9" t="n">
        <v>-0.00017</v>
      </c>
      <c r="R30" s="9" t="n">
        <v>0.130168</v>
      </c>
      <c r="S30" s="9" t="n">
        <v>21.305204</v>
      </c>
      <c r="T30" s="9" t="n">
        <v>23.207608</v>
      </c>
      <c r="U30" s="9" t="n">
        <v>8.521584000000001</v>
      </c>
    </row>
    <row r="31">
      <c r="A31" s="14" t="n">
        <v>21</v>
      </c>
      <c r="B31" s="14" t="n">
        <v>2500000000</v>
      </c>
      <c r="C31" s="14" t="n">
        <v>39.413639</v>
      </c>
      <c r="D31" s="14" t="n">
        <v>-0.000276</v>
      </c>
      <c r="E31" s="14" t="n">
        <v>0.131032</v>
      </c>
      <c r="F31" t="n">
        <v>21.413639</v>
      </c>
      <c r="G31" t="n">
        <v>23.641836</v>
      </c>
      <c r="H31" t="n">
        <v>8.737031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39.413639</v>
      </c>
      <c r="Q31" s="9" t="n">
        <v>-0.000276</v>
      </c>
      <c r="R31" s="9" t="n">
        <v>0.131032</v>
      </c>
      <c r="S31" s="9" t="n">
        <v>21.413639</v>
      </c>
      <c r="T31" s="9" t="n">
        <v>23.641836</v>
      </c>
      <c r="U31" s="9" t="n">
        <v>8.737031</v>
      </c>
    </row>
    <row r="32">
      <c r="A32" s="14" t="n">
        <v>22</v>
      </c>
      <c r="B32" s="14" t="n">
        <v>2600000000</v>
      </c>
      <c r="C32" s="14" t="n">
        <v>39.738505</v>
      </c>
      <c r="D32" s="14" t="n">
        <v>-0.000192</v>
      </c>
      <c r="E32" s="14" t="n">
        <v>0.132441</v>
      </c>
      <c r="F32" t="n">
        <v>21.738505</v>
      </c>
      <c r="G32" t="n">
        <v>25.22033</v>
      </c>
      <c r="H32" t="n">
        <v>9.415654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39.738505</v>
      </c>
      <c r="Q32" s="9" t="n">
        <v>-0.000192</v>
      </c>
      <c r="R32" s="9" t="n">
        <v>0.132441</v>
      </c>
      <c r="S32" s="9" t="n">
        <v>21.738505</v>
      </c>
      <c r="T32" s="9" t="n">
        <v>25.22033</v>
      </c>
      <c r="U32" s="9" t="n">
        <v>9.415654</v>
      </c>
    </row>
    <row r="33">
      <c r="A33" s="14" t="n">
        <v>23</v>
      </c>
      <c r="B33" s="14" t="n">
        <v>2700000000</v>
      </c>
      <c r="C33" s="14" t="n">
        <v>39.668492</v>
      </c>
      <c r="D33" s="14" t="n">
        <v>-0.000134</v>
      </c>
      <c r="E33" s="14" t="n">
        <v>0.131931</v>
      </c>
      <c r="F33" t="n">
        <v>21.668492</v>
      </c>
      <c r="G33" t="n">
        <v>24.910131</v>
      </c>
      <c r="H33" t="n">
        <v>9.265081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39.668492</v>
      </c>
      <c r="Q33" s="9" t="n">
        <v>-0.000134</v>
      </c>
      <c r="R33" s="9" t="n">
        <v>0.131931</v>
      </c>
      <c r="S33" s="9" t="n">
        <v>21.668492</v>
      </c>
      <c r="T33" s="9" t="n">
        <v>24.910131</v>
      </c>
      <c r="U33" s="9" t="n">
        <v>9.265081</v>
      </c>
    </row>
    <row r="34">
      <c r="A34" s="14" t="n">
        <v>24</v>
      </c>
      <c r="B34" s="14" t="n">
        <v>2800000000</v>
      </c>
      <c r="C34" s="14" t="n">
        <v>39.614784</v>
      </c>
      <c r="D34" s="14" t="n">
        <v>-0.000271</v>
      </c>
      <c r="E34" s="14" t="n">
        <v>0.133172</v>
      </c>
      <c r="F34" t="n">
        <v>21.614784</v>
      </c>
      <c r="G34" t="n">
        <v>24.372738</v>
      </c>
      <c r="H34" t="n">
        <v>9.151208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39.614784</v>
      </c>
      <c r="Q34" s="9" t="n">
        <v>-0.000271</v>
      </c>
      <c r="R34" s="9" t="n">
        <v>0.133172</v>
      </c>
      <c r="S34" s="9" t="n">
        <v>21.614784</v>
      </c>
      <c r="T34" s="9" t="n">
        <v>24.372738</v>
      </c>
      <c r="U34" s="9" t="n">
        <v>9.151208</v>
      </c>
    </row>
    <row r="35">
      <c r="A35" s="14" t="n">
        <v>25</v>
      </c>
      <c r="B35" s="14" t="n">
        <v>2900000000</v>
      </c>
      <c r="C35" s="14" t="n">
        <v>39.874613</v>
      </c>
      <c r="D35" s="14" t="n">
        <v>3e-05</v>
      </c>
      <c r="E35" s="14" t="n">
        <v>0.135966</v>
      </c>
      <c r="F35" t="n">
        <v>21.874613</v>
      </c>
      <c r="G35" t="n">
        <v>25.353735</v>
      </c>
      <c r="H35" t="n">
        <v>9.715414000000001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39.874613</v>
      </c>
      <c r="Q35" s="9" t="n">
        <v>3e-05</v>
      </c>
      <c r="R35" s="9" t="n">
        <v>0.135966</v>
      </c>
      <c r="S35" s="9" t="n">
        <v>21.874613</v>
      </c>
      <c r="T35" s="9" t="n">
        <v>25.353735</v>
      </c>
      <c r="U35" s="9" t="n">
        <v>9.715414000000001</v>
      </c>
    </row>
    <row r="36">
      <c r="A36" s="14" t="n">
        <v>26</v>
      </c>
      <c r="B36" s="14" t="n">
        <v>3000000000</v>
      </c>
      <c r="C36" s="14" t="n">
        <v>39.920593</v>
      </c>
      <c r="D36" s="14" t="n">
        <v>-0.000414</v>
      </c>
      <c r="E36" s="14" t="n">
        <v>0.136943</v>
      </c>
      <c r="F36" t="n">
        <v>21.920593</v>
      </c>
      <c r="G36" t="n">
        <v>25.442657</v>
      </c>
      <c r="H36" t="n">
        <v>9.818819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39.920593</v>
      </c>
      <c r="Q36" s="9" t="n">
        <v>-0.000414</v>
      </c>
      <c r="R36" s="9" t="n">
        <v>0.136943</v>
      </c>
      <c r="S36" s="9" t="n">
        <v>21.920593</v>
      </c>
      <c r="T36" s="9" t="n">
        <v>25.442657</v>
      </c>
      <c r="U36" s="9" t="n">
        <v>9.818819</v>
      </c>
    </row>
    <row r="37">
      <c r="A37" s="14" t="n">
        <v>27</v>
      </c>
      <c r="B37" s="14" t="n">
        <v>3100000000</v>
      </c>
      <c r="C37" s="14" t="n">
        <v>40.076537</v>
      </c>
      <c r="D37" s="14" t="n">
        <v>-0.00026</v>
      </c>
      <c r="E37" s="14" t="n">
        <v>0.140465</v>
      </c>
      <c r="F37" t="n">
        <v>22.076537</v>
      </c>
      <c r="G37" t="n">
        <v>25.717416</v>
      </c>
      <c r="H37" t="n">
        <v>10.177794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40.076537</v>
      </c>
      <c r="Q37" s="9" t="n">
        <v>-0.00026</v>
      </c>
      <c r="R37" s="9" t="n">
        <v>0.140465</v>
      </c>
      <c r="S37" s="9" t="n">
        <v>22.076537</v>
      </c>
      <c r="T37" s="9" t="n">
        <v>25.717416</v>
      </c>
      <c r="U37" s="9" t="n">
        <v>10.177794</v>
      </c>
    </row>
    <row r="38">
      <c r="A38" s="14" t="n">
        <v>28</v>
      </c>
      <c r="B38" s="14" t="n">
        <v>3200000000</v>
      </c>
      <c r="C38" s="14" t="n">
        <v>40.021785</v>
      </c>
      <c r="D38" s="14" t="n">
        <v>-0.000552</v>
      </c>
      <c r="E38" s="14" t="n">
        <v>0.145063</v>
      </c>
      <c r="F38" t="n">
        <v>22.021785</v>
      </c>
      <c r="G38" t="n">
        <v>24.588352</v>
      </c>
      <c r="H38" t="n">
        <v>10.050288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40.021785</v>
      </c>
      <c r="Q38" s="9" t="n">
        <v>-0.000552</v>
      </c>
      <c r="R38" s="9" t="n">
        <v>0.145063</v>
      </c>
      <c r="S38" s="9" t="n">
        <v>22.021785</v>
      </c>
      <c r="T38" s="9" t="n">
        <v>24.588352</v>
      </c>
      <c r="U38" s="9" t="n">
        <v>10.050288</v>
      </c>
    </row>
    <row r="39">
      <c r="A39" s="14" t="n">
        <v>29</v>
      </c>
      <c r="B39" s="14" t="n">
        <v>3300000000</v>
      </c>
      <c r="C39" s="14" t="n">
        <v>39.77671</v>
      </c>
      <c r="D39" s="14" t="n">
        <v>-0.000172</v>
      </c>
      <c r="E39" s="14" t="n">
        <v>0.145418</v>
      </c>
      <c r="F39" t="n">
        <v>21.77671</v>
      </c>
      <c r="G39" t="n">
        <v>23.17397</v>
      </c>
      <c r="H39" t="n">
        <v>9.498849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39.77671</v>
      </c>
      <c r="Q39" s="9" t="n">
        <v>-0.000172</v>
      </c>
      <c r="R39" s="9" t="n">
        <v>0.145418</v>
      </c>
      <c r="S39" s="9" t="n">
        <v>21.77671</v>
      </c>
      <c r="T39" s="9" t="n">
        <v>23.17397</v>
      </c>
      <c r="U39" s="9" t="n">
        <v>9.498849</v>
      </c>
    </row>
    <row r="40">
      <c r="A40" s="14" t="n">
        <v>30</v>
      </c>
      <c r="B40" s="14" t="n">
        <v>3400000000</v>
      </c>
      <c r="C40" s="14" t="n">
        <v>40.115369</v>
      </c>
      <c r="D40" s="14" t="n">
        <v>3e-06</v>
      </c>
      <c r="E40" s="14" t="n">
        <v>0.146555</v>
      </c>
      <c r="F40" t="n">
        <v>22.115369</v>
      </c>
      <c r="G40" t="n">
        <v>24.871492</v>
      </c>
      <c r="H40" t="n">
        <v>10.269207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40.115369</v>
      </c>
      <c r="Q40" s="9" t="n">
        <v>3e-06</v>
      </c>
      <c r="R40" s="9" t="n">
        <v>0.146555</v>
      </c>
      <c r="S40" s="9" t="n">
        <v>22.115369</v>
      </c>
      <c r="T40" s="9" t="n">
        <v>24.871492</v>
      </c>
      <c r="U40" s="9" t="n">
        <v>10.269207</v>
      </c>
    </row>
    <row r="41">
      <c r="A41" s="14" t="n">
        <v>31</v>
      </c>
      <c r="B41" s="14" t="n">
        <v>3500000000</v>
      </c>
      <c r="C41" s="14" t="n">
        <v>40.254878</v>
      </c>
      <c r="D41" s="14" t="n">
        <v>-0.000122</v>
      </c>
      <c r="E41" s="14" t="n">
        <v>0.149112</v>
      </c>
      <c r="F41" t="n">
        <v>22.254878</v>
      </c>
      <c r="G41" t="n">
        <v>25.247959</v>
      </c>
      <c r="H41" t="n">
        <v>10.604442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40.254878</v>
      </c>
      <c r="Q41" s="9" t="n">
        <v>-0.000122</v>
      </c>
      <c r="R41" s="9" t="n">
        <v>0.149112</v>
      </c>
      <c r="S41" s="9" t="n">
        <v>22.254878</v>
      </c>
      <c r="T41" s="9" t="n">
        <v>25.247959</v>
      </c>
      <c r="U41" s="9" t="n">
        <v>10.604442</v>
      </c>
    </row>
    <row r="42">
      <c r="A42" s="14" t="n">
        <v>32</v>
      </c>
      <c r="B42" s="14" t="n">
        <v>3600000000</v>
      </c>
      <c r="C42" s="14" t="n">
        <v>40.277053</v>
      </c>
      <c r="D42" s="14" t="n">
        <v>-0.00011</v>
      </c>
      <c r="E42" s="14" t="n">
        <v>0.151743</v>
      </c>
      <c r="F42" t="n">
        <v>22.277053</v>
      </c>
      <c r="G42" t="n">
        <v>24.937987</v>
      </c>
      <c r="H42" t="n">
        <v>10.658725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40.277053</v>
      </c>
      <c r="Q42" s="9" t="n">
        <v>-0.00011</v>
      </c>
      <c r="R42" s="9" t="n">
        <v>0.151743</v>
      </c>
      <c r="S42" s="9" t="n">
        <v>22.277053</v>
      </c>
      <c r="T42" s="9" t="n">
        <v>24.937987</v>
      </c>
      <c r="U42" s="9" t="n">
        <v>10.658725</v>
      </c>
    </row>
    <row r="43">
      <c r="A43" s="14" t="n">
        <v>33</v>
      </c>
      <c r="B43" s="14" t="n">
        <v>3700000000</v>
      </c>
      <c r="C43" s="14" t="n">
        <v>40.392446</v>
      </c>
      <c r="D43" s="14" t="n">
        <v>-0.000344</v>
      </c>
      <c r="E43" s="14" t="n">
        <v>0.153139</v>
      </c>
      <c r="F43" t="n">
        <v>22.392446</v>
      </c>
      <c r="G43" t="n">
        <v>25.379975</v>
      </c>
      <c r="H43" t="n">
        <v>10.945726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40.392446</v>
      </c>
      <c r="Q43" s="9" t="n">
        <v>-0.000344</v>
      </c>
      <c r="R43" s="9" t="n">
        <v>0.153139</v>
      </c>
      <c r="S43" s="9" t="n">
        <v>22.392446</v>
      </c>
      <c r="T43" s="9" t="n">
        <v>25.379975</v>
      </c>
      <c r="U43" s="9" t="n">
        <v>10.945726</v>
      </c>
    </row>
    <row r="44">
      <c r="A44" s="14" t="n">
        <v>34</v>
      </c>
      <c r="B44" s="14" t="n">
        <v>3800000000</v>
      </c>
      <c r="C44" s="14" t="n">
        <v>40.553835</v>
      </c>
      <c r="D44" s="14" t="n">
        <v>-2.1e-05</v>
      </c>
      <c r="E44" s="14" t="n">
        <v>0.158209</v>
      </c>
      <c r="F44" t="n">
        <v>22.553835</v>
      </c>
      <c r="G44" t="n">
        <v>25.502064</v>
      </c>
      <c r="H44" t="n">
        <v>11.360135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40.553835</v>
      </c>
      <c r="Q44" s="9" t="n">
        <v>-2.1e-05</v>
      </c>
      <c r="R44" s="9" t="n">
        <v>0.158209</v>
      </c>
      <c r="S44" s="9" t="n">
        <v>22.553835</v>
      </c>
      <c r="T44" s="9" t="n">
        <v>25.502064</v>
      </c>
      <c r="U44" s="9" t="n">
        <v>11.360135</v>
      </c>
    </row>
    <row r="45">
      <c r="A45" s="14" t="n">
        <v>35</v>
      </c>
      <c r="B45" s="14" t="n">
        <v>3900000000</v>
      </c>
      <c r="C45" s="14" t="n">
        <v>40.854741</v>
      </c>
      <c r="D45" s="14" t="n">
        <v>-0.000271</v>
      </c>
      <c r="E45" s="14" t="n">
        <v>0.167077</v>
      </c>
      <c r="F45" t="n">
        <v>22.854741</v>
      </c>
      <c r="G45" t="n">
        <v>25.89058</v>
      </c>
      <c r="H45" t="n">
        <v>12.175143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40.854741</v>
      </c>
      <c r="Q45" s="9" t="n">
        <v>-0.000271</v>
      </c>
      <c r="R45" s="9" t="n">
        <v>0.167077</v>
      </c>
      <c r="S45" s="9" t="n">
        <v>22.854741</v>
      </c>
      <c r="T45" s="9" t="n">
        <v>25.89058</v>
      </c>
      <c r="U45" s="9" t="n">
        <v>12.175143</v>
      </c>
    </row>
    <row r="46">
      <c r="A46" s="14" t="n">
        <v>36</v>
      </c>
      <c r="B46" s="14" t="n">
        <v>4000000000</v>
      </c>
      <c r="C46" s="14" t="n">
        <v>41.033889</v>
      </c>
      <c r="D46" s="14" t="n">
        <v>-9.1e-05</v>
      </c>
      <c r="E46" s="14" t="n">
        <v>0.172948</v>
      </c>
      <c r="F46" t="n">
        <v>23.033889</v>
      </c>
      <c r="G46" t="n">
        <v>26.070626</v>
      </c>
      <c r="H46" t="n">
        <v>12.687876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41.033889</v>
      </c>
      <c r="Q46" s="9" t="n">
        <v>-9.1e-05</v>
      </c>
      <c r="R46" s="9" t="n">
        <v>0.172948</v>
      </c>
      <c r="S46" s="9" t="n">
        <v>23.033889</v>
      </c>
      <c r="T46" s="9" t="n">
        <v>26.070626</v>
      </c>
      <c r="U46" s="9" t="n">
        <v>12.687876</v>
      </c>
    </row>
    <row r="47">
      <c r="A47" s="14" t="n">
        <v>37</v>
      </c>
      <c r="B47" s="14" t="n">
        <v>4100000000</v>
      </c>
      <c r="C47" s="14" t="n">
        <v>41.118541</v>
      </c>
      <c r="D47" s="14" t="n">
        <v>3e-06</v>
      </c>
      <c r="E47" s="14" t="n">
        <v>0.179281</v>
      </c>
      <c r="F47" t="n">
        <v>23.118541</v>
      </c>
      <c r="G47" t="n">
        <v>25.647049</v>
      </c>
      <c r="H47" t="n">
        <v>12.93761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 t="n">
        <v>41.118541</v>
      </c>
      <c r="Q47" s="9" t="n">
        <v>3e-06</v>
      </c>
      <c r="R47" s="9" t="n">
        <v>0.179281</v>
      </c>
      <c r="S47" s="9" t="n">
        <v>23.118541</v>
      </c>
      <c r="T47" s="9" t="n">
        <v>25.647049</v>
      </c>
      <c r="U47" s="9" t="n">
        <v>12.93761</v>
      </c>
    </row>
    <row r="48">
      <c r="A48" s="14" t="n">
        <v>38</v>
      </c>
      <c r="B48" s="14" t="n">
        <v>4200000000</v>
      </c>
      <c r="C48" s="14" t="n">
        <v>40.914123</v>
      </c>
      <c r="D48" s="14" t="n">
        <v>-0.000156</v>
      </c>
      <c r="E48" s="14" t="n">
        <v>0.175702</v>
      </c>
      <c r="F48" t="n">
        <v>22.914123</v>
      </c>
      <c r="G48" t="n">
        <v>24.960482</v>
      </c>
      <c r="H48" t="n">
        <v>12.342761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 t="n">
        <v>40.914123</v>
      </c>
      <c r="Q48" s="9" t="n">
        <v>-0.000156</v>
      </c>
      <c r="R48" s="9" t="n">
        <v>0.175702</v>
      </c>
      <c r="S48" s="9" t="n">
        <v>22.914123</v>
      </c>
      <c r="T48" s="9" t="n">
        <v>24.960482</v>
      </c>
      <c r="U48" s="9" t="n">
        <v>12.342761</v>
      </c>
    </row>
    <row r="49">
      <c r="A49" s="14" t="n">
        <v>39</v>
      </c>
      <c r="B49" s="14" t="n">
        <v>4300000000</v>
      </c>
      <c r="C49" s="14" t="n">
        <v>40.837985</v>
      </c>
      <c r="D49" s="14" t="n">
        <v>-0.000167</v>
      </c>
      <c r="E49" s="14" t="n">
        <v>0.174945</v>
      </c>
      <c r="F49" t="n">
        <v>22.837985</v>
      </c>
      <c r="G49" t="n">
        <v>24.630589</v>
      </c>
      <c r="H49" t="n">
        <v>12.128259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 t="n">
        <v>40.837985</v>
      </c>
      <c r="Q49" s="9" t="n">
        <v>-0.000167</v>
      </c>
      <c r="R49" s="9" t="n">
        <v>0.174945</v>
      </c>
      <c r="S49" s="9" t="n">
        <v>22.837985</v>
      </c>
      <c r="T49" s="9" t="n">
        <v>24.630589</v>
      </c>
      <c r="U49" s="9" t="n">
        <v>12.128259</v>
      </c>
    </row>
    <row r="50">
      <c r="A50" s="14" t="n">
        <v>40</v>
      </c>
      <c r="B50" s="14" t="n">
        <v>4400000000</v>
      </c>
      <c r="C50" s="14" t="n">
        <v>40.936918</v>
      </c>
      <c r="D50" s="14" t="n">
        <v>-0.000199</v>
      </c>
      <c r="E50" s="14" t="n">
        <v>0.176092</v>
      </c>
      <c r="F50" t="n">
        <v>22.936918</v>
      </c>
      <c r="G50" t="n">
        <v>25.03684</v>
      </c>
      <c r="H50" t="n">
        <v>12.407716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 t="n">
        <v>40.936918</v>
      </c>
      <c r="Q50" s="9" t="n">
        <v>-0.000199</v>
      </c>
      <c r="R50" s="9" t="n">
        <v>0.176092</v>
      </c>
      <c r="S50" s="9" t="n">
        <v>22.936918</v>
      </c>
      <c r="T50" s="9" t="n">
        <v>25.03684</v>
      </c>
      <c r="U50" s="9" t="n">
        <v>12.407716</v>
      </c>
    </row>
    <row r="51">
      <c r="A51" s="14" t="n">
        <v>41</v>
      </c>
      <c r="B51" s="14" t="n">
        <v>4500000000</v>
      </c>
      <c r="C51" s="14" t="n">
        <v>40.866783</v>
      </c>
      <c r="D51" s="14" t="n">
        <v>-0.000136</v>
      </c>
      <c r="E51" s="14" t="n">
        <v>0.173688</v>
      </c>
      <c r="F51" t="n">
        <v>22.866783</v>
      </c>
      <c r="G51" t="n">
        <v>24.974748</v>
      </c>
      <c r="H51" t="n">
        <v>12.208951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 t="n">
        <v>40.866783</v>
      </c>
      <c r="Q51" s="9" t="n">
        <v>-0.000136</v>
      </c>
      <c r="R51" s="9" t="n">
        <v>0.173688</v>
      </c>
      <c r="S51" s="9" t="n">
        <v>22.866783</v>
      </c>
      <c r="T51" s="9" t="n">
        <v>24.974748</v>
      </c>
      <c r="U51" s="9" t="n">
        <v>12.208951</v>
      </c>
    </row>
    <row r="52">
      <c r="A52" s="14" t="n">
        <v>42</v>
      </c>
      <c r="B52" s="14" t="n">
        <v>4600000000</v>
      </c>
      <c r="C52" s="14" t="n">
        <v>40.71405</v>
      </c>
      <c r="D52" s="14" t="n">
        <v>-0.000417</v>
      </c>
      <c r="E52" s="14" t="n">
        <v>0.173951</v>
      </c>
      <c r="F52" t="n">
        <v>22.71405</v>
      </c>
      <c r="G52" t="n">
        <v>24.07078</v>
      </c>
      <c r="H52" t="n">
        <v>11.787046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 t="n">
        <v>40.71405</v>
      </c>
      <c r="Q52" s="9" t="n">
        <v>-0.000417</v>
      </c>
      <c r="R52" s="9" t="n">
        <v>0.173951</v>
      </c>
      <c r="S52" s="9" t="n">
        <v>22.71405</v>
      </c>
      <c r="T52" s="9" t="n">
        <v>24.07078</v>
      </c>
      <c r="U52" s="9" t="n">
        <v>11.787046</v>
      </c>
    </row>
    <row r="53">
      <c r="A53" s="14" t="n">
        <v>43</v>
      </c>
      <c r="B53" s="14" t="n">
        <v>4700000000</v>
      </c>
      <c r="C53" s="14" t="n">
        <v>40.558502</v>
      </c>
      <c r="D53" s="14" t="n">
        <v>-0.000145</v>
      </c>
      <c r="E53" s="14" t="n">
        <v>0.169567</v>
      </c>
      <c r="F53" t="n">
        <v>22.558502</v>
      </c>
      <c r="G53" t="n">
        <v>23.819611</v>
      </c>
      <c r="H53" t="n">
        <v>11.372349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 t="n">
        <v>40.558502</v>
      </c>
      <c r="Q53" s="9" t="n">
        <v>-0.000145</v>
      </c>
      <c r="R53" s="9" t="n">
        <v>0.169567</v>
      </c>
      <c r="S53" s="9" t="n">
        <v>22.558502</v>
      </c>
      <c r="T53" s="9" t="n">
        <v>23.819611</v>
      </c>
      <c r="U53" s="9" t="n">
        <v>11.372349</v>
      </c>
    </row>
    <row r="54">
      <c r="A54" s="14" t="n">
        <v>44</v>
      </c>
      <c r="B54" s="14" t="n">
        <v>4800000000</v>
      </c>
      <c r="C54" s="14" t="n">
        <v>40.281106</v>
      </c>
      <c r="D54" s="14" t="n">
        <v>-9.8e-05</v>
      </c>
      <c r="E54" s="14" t="n">
        <v>0.16384</v>
      </c>
      <c r="F54" t="n">
        <v>22.281106</v>
      </c>
      <c r="G54" t="n">
        <v>23.118382</v>
      </c>
      <c r="H54" t="n">
        <v>10.668677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 t="n">
        <v>40.281106</v>
      </c>
      <c r="Q54" s="9" t="n">
        <v>-9.8e-05</v>
      </c>
      <c r="R54" s="9" t="n">
        <v>0.16384</v>
      </c>
      <c r="S54" s="9" t="n">
        <v>22.281106</v>
      </c>
      <c r="T54" s="9" t="n">
        <v>23.118382</v>
      </c>
      <c r="U54" s="9" t="n">
        <v>10.668677</v>
      </c>
    </row>
    <row r="55">
      <c r="A55" s="14" t="n">
        <v>45</v>
      </c>
      <c r="B55" s="14" t="n">
        <v>4900000000</v>
      </c>
      <c r="C55" s="14" t="n">
        <v>40.131875</v>
      </c>
      <c r="D55" s="14" t="n">
        <v>-1.6e-05</v>
      </c>
      <c r="E55" s="14" t="n">
        <v>0.161867</v>
      </c>
      <c r="F55" t="n">
        <v>22.131875</v>
      </c>
      <c r="G55" t="n">
        <v>22.605075</v>
      </c>
      <c r="H55" t="n">
        <v>10.308312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 t="n">
        <v>40.131875</v>
      </c>
      <c r="Q55" s="9" t="n">
        <v>-1.6e-05</v>
      </c>
      <c r="R55" s="9" t="n">
        <v>0.161867</v>
      </c>
      <c r="S55" s="9" t="n">
        <v>22.131875</v>
      </c>
      <c r="T55" s="9" t="n">
        <v>22.605075</v>
      </c>
      <c r="U55" s="9" t="n">
        <v>10.308312</v>
      </c>
    </row>
    <row r="56">
      <c r="A56" s="14" t="n">
        <v>46</v>
      </c>
      <c r="B56" s="14" t="n">
        <v>5000000000</v>
      </c>
      <c r="C56" s="14" t="n">
        <v>40.105934</v>
      </c>
      <c r="D56" s="14" t="n">
        <v>-0.000174</v>
      </c>
      <c r="E56" s="14" t="n">
        <v>0.160597</v>
      </c>
      <c r="F56" t="n">
        <v>22.105934</v>
      </c>
      <c r="G56" t="n">
        <v>22.647246</v>
      </c>
      <c r="H56" t="n">
        <v>10.246922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 t="n">
        <v>40.105934</v>
      </c>
      <c r="Q56" s="9" t="n">
        <v>-0.000174</v>
      </c>
      <c r="R56" s="9" t="n">
        <v>0.160597</v>
      </c>
      <c r="S56" s="9" t="n">
        <v>22.105934</v>
      </c>
      <c r="T56" s="9" t="n">
        <v>22.647246</v>
      </c>
      <c r="U56" s="9" t="n">
        <v>10.246922</v>
      </c>
    </row>
    <row r="57">
      <c r="A57" s="14" t="n">
        <v>47</v>
      </c>
      <c r="B57" s="14" t="n">
        <v>5100000000</v>
      </c>
      <c r="C57" s="14" t="n">
        <v>39.954522</v>
      </c>
      <c r="D57" s="14" t="n">
        <v>9e-06</v>
      </c>
      <c r="E57" s="14" t="n">
        <v>0.164753</v>
      </c>
      <c r="F57" t="n">
        <v>21.954522</v>
      </c>
      <c r="G57" t="n">
        <v>21.314826</v>
      </c>
      <c r="H57" t="n">
        <v>9.89583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 t="n">
        <v>39.954522</v>
      </c>
      <c r="Q57" s="9" t="n">
        <v>9e-06</v>
      </c>
      <c r="R57" s="9" t="n">
        <v>0.164753</v>
      </c>
      <c r="S57" s="9" t="n">
        <v>21.954522</v>
      </c>
      <c r="T57" s="9" t="n">
        <v>21.314826</v>
      </c>
      <c r="U57" s="9" t="n">
        <v>9.89583</v>
      </c>
    </row>
    <row r="58">
      <c r="A58" s="14" t="n">
        <v>48</v>
      </c>
      <c r="B58" s="14" t="n">
        <v>5200000000</v>
      </c>
      <c r="C58" s="14" t="n">
        <v>40.029342</v>
      </c>
      <c r="D58" s="14" t="n">
        <v>-0.000352</v>
      </c>
      <c r="E58" s="14" t="n">
        <v>0.173591</v>
      </c>
      <c r="F58" t="n">
        <v>22.029342</v>
      </c>
      <c r="G58" t="n">
        <v>20.583429</v>
      </c>
      <c r="H58" t="n">
        <v>10.06779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 t="n">
        <v>40.029342</v>
      </c>
      <c r="Q58" s="9" t="n">
        <v>-0.000352</v>
      </c>
      <c r="R58" s="9" t="n">
        <v>0.173591</v>
      </c>
      <c r="S58" s="9" t="n">
        <v>22.029342</v>
      </c>
      <c r="T58" s="9" t="n">
        <v>20.583429</v>
      </c>
      <c r="U58" s="9" t="n">
        <v>10.06779</v>
      </c>
    </row>
    <row r="59">
      <c r="A59" s="14" t="n">
        <v>49</v>
      </c>
      <c r="B59" s="14" t="n">
        <v>5300000000</v>
      </c>
      <c r="C59" s="14" t="n">
        <v>39.995897</v>
      </c>
      <c r="D59" s="14" t="n">
        <v>-0.000239</v>
      </c>
      <c r="E59" s="14" t="n">
        <v>0.177791</v>
      </c>
      <c r="F59" t="n">
        <v>21.995897</v>
      </c>
      <c r="G59" t="n">
        <v>19.942055</v>
      </c>
      <c r="H59" t="n">
        <v>9.990557000000001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 t="n">
        <v>39.995897</v>
      </c>
      <c r="Q59" s="9" t="n">
        <v>-0.000239</v>
      </c>
      <c r="R59" s="9" t="n">
        <v>0.177791</v>
      </c>
      <c r="S59" s="9" t="n">
        <v>21.995897</v>
      </c>
      <c r="T59" s="9" t="n">
        <v>19.942055</v>
      </c>
      <c r="U59" s="9" t="n">
        <v>9.990557000000001</v>
      </c>
    </row>
    <row r="60">
      <c r="A60" s="14" t="n">
        <v>50</v>
      </c>
      <c r="B60" s="14" t="n">
        <v>5400000000</v>
      </c>
      <c r="C60" s="14" t="n">
        <v>39.836249</v>
      </c>
      <c r="D60" s="14" t="n">
        <v>0.0002</v>
      </c>
      <c r="E60" s="14" t="n">
        <v>0.181787</v>
      </c>
      <c r="F60" t="n">
        <v>21.836249</v>
      </c>
      <c r="G60" t="n">
        <v>18.795317</v>
      </c>
      <c r="H60" t="n">
        <v>9.629968999999999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 t="n">
        <v>39.836249</v>
      </c>
      <c r="Q60" s="9" t="n">
        <v>0.0002</v>
      </c>
      <c r="R60" s="9" t="n">
        <v>0.181787</v>
      </c>
      <c r="S60" s="9" t="n">
        <v>21.836249</v>
      </c>
      <c r="T60" s="9" t="n">
        <v>18.795317</v>
      </c>
      <c r="U60" s="9" t="n">
        <v>9.629968999999999</v>
      </c>
    </row>
    <row r="61">
      <c r="A61" s="14" t="n">
        <v>51</v>
      </c>
      <c r="B61" s="14" t="n">
        <v>5500000000</v>
      </c>
      <c r="C61" s="14" t="n">
        <v>39.780558</v>
      </c>
      <c r="D61" s="14" t="n">
        <v>1.3e-05</v>
      </c>
      <c r="E61" s="14" t="n">
        <v>0.185029</v>
      </c>
      <c r="F61" t="n">
        <v>21.780558</v>
      </c>
      <c r="G61" t="n">
        <v>18.229166</v>
      </c>
      <c r="H61" t="n">
        <v>9.507269000000001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 t="n">
        <v>39.780558</v>
      </c>
      <c r="Q61" s="9" t="n">
        <v>1.3e-05</v>
      </c>
      <c r="R61" s="9" t="n">
        <v>0.185029</v>
      </c>
      <c r="S61" s="9" t="n">
        <v>21.780558</v>
      </c>
      <c r="T61" s="9" t="n">
        <v>18.229166</v>
      </c>
      <c r="U61" s="9" t="n">
        <v>9.507269000000001</v>
      </c>
    </row>
    <row r="62">
      <c r="A62" s="14" t="n">
        <v>52</v>
      </c>
      <c r="B62" s="14" t="n">
        <v>5600000000</v>
      </c>
      <c r="C62" s="14" t="n">
        <v>39.713008</v>
      </c>
      <c r="D62" s="14" t="n">
        <v>-0.000237</v>
      </c>
      <c r="E62" s="14" t="n">
        <v>0.187073</v>
      </c>
      <c r="F62" t="n">
        <v>21.713008</v>
      </c>
      <c r="G62" t="n">
        <v>17.749863</v>
      </c>
      <c r="H62" t="n">
        <v>9.360538999999999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 t="n">
        <v>39.713008</v>
      </c>
      <c r="Q62" s="9" t="n">
        <v>-0.000237</v>
      </c>
      <c r="R62" s="9" t="n">
        <v>0.187073</v>
      </c>
      <c r="S62" s="9" t="n">
        <v>21.713008</v>
      </c>
      <c r="T62" s="9" t="n">
        <v>17.749863</v>
      </c>
      <c r="U62" s="9" t="n">
        <v>9.360538999999999</v>
      </c>
    </row>
    <row r="63">
      <c r="A63" s="14" t="n">
        <v>53</v>
      </c>
      <c r="B63" s="14" t="n">
        <v>5700000000</v>
      </c>
      <c r="C63" s="14" t="n">
        <v>39.893792</v>
      </c>
      <c r="D63" s="14" t="n">
        <v>0.000441</v>
      </c>
      <c r="E63" s="14" t="n">
        <v>0.186807</v>
      </c>
      <c r="F63" t="n">
        <v>21.893792</v>
      </c>
      <c r="G63" t="n">
        <v>18.53578</v>
      </c>
      <c r="H63" t="n">
        <v>9.758412999999999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 t="n">
        <v>39.893792</v>
      </c>
      <c r="Q63" s="9" t="n">
        <v>0.000441</v>
      </c>
      <c r="R63" s="9" t="n">
        <v>0.186807</v>
      </c>
      <c r="S63" s="9" t="n">
        <v>21.893792</v>
      </c>
      <c r="T63" s="9" t="n">
        <v>18.53578</v>
      </c>
      <c r="U63" s="9" t="n">
        <v>9.758412999999999</v>
      </c>
    </row>
    <row r="64">
      <c r="A64" s="14" t="n">
        <v>54</v>
      </c>
      <c r="B64" s="14" t="n">
        <v>5800000000</v>
      </c>
      <c r="C64" s="14" t="n">
        <v>39.982863</v>
      </c>
      <c r="D64" s="14" t="n">
        <v>-0.000474</v>
      </c>
      <c r="E64" s="14" t="n">
        <v>0.184591</v>
      </c>
      <c r="F64" t="n">
        <v>21.982863</v>
      </c>
      <c r="G64" t="n">
        <v>19.149565</v>
      </c>
      <c r="H64" t="n">
        <v>9.960618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 t="n">
        <v>39.982863</v>
      </c>
      <c r="Q64" s="9" t="n">
        <v>-0.000474</v>
      </c>
      <c r="R64" s="9" t="n">
        <v>0.184591</v>
      </c>
      <c r="S64" s="9" t="n">
        <v>21.982863</v>
      </c>
      <c r="T64" s="9" t="n">
        <v>19.149565</v>
      </c>
      <c r="U64" s="9" t="n">
        <v>9.960618</v>
      </c>
    </row>
    <row r="65">
      <c r="A65" s="14" t="n">
        <v>55</v>
      </c>
      <c r="B65" s="14" t="n">
        <v>5900000000</v>
      </c>
      <c r="C65" s="14" t="n">
        <v>40.002103</v>
      </c>
      <c r="D65" s="14" t="n">
        <v>-0.000196</v>
      </c>
      <c r="E65" s="14" t="n">
        <v>0.182537</v>
      </c>
      <c r="F65" t="n">
        <v>22.002103</v>
      </c>
      <c r="G65" t="n">
        <v>19.451532</v>
      </c>
      <c r="H65" t="n">
        <v>10.004844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 t="n">
        <v>40.002103</v>
      </c>
      <c r="Q65" s="9" t="n">
        <v>-0.000196</v>
      </c>
      <c r="R65" s="9" t="n">
        <v>0.182537</v>
      </c>
      <c r="S65" s="9" t="n">
        <v>22.002103</v>
      </c>
      <c r="T65" s="9" t="n">
        <v>19.451532</v>
      </c>
      <c r="U65" s="9" t="n">
        <v>10.004844</v>
      </c>
    </row>
    <row r="66">
      <c r="A66" s="14" t="n">
        <v>56</v>
      </c>
      <c r="B66" s="14" t="n">
        <v>6000000000</v>
      </c>
      <c r="C66" s="14" t="n">
        <v>39.833021</v>
      </c>
      <c r="D66" s="14" t="n">
        <v>-0.000509</v>
      </c>
      <c r="E66" s="14" t="n">
        <v>0.181793</v>
      </c>
      <c r="F66" t="n">
        <v>21.833021</v>
      </c>
      <c r="G66" t="n">
        <v>18.780608</v>
      </c>
      <c r="H66" t="n">
        <v>9.622814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 t="n">
        <v>39.833021</v>
      </c>
      <c r="Q66" s="9" t="n">
        <v>-0.000509</v>
      </c>
      <c r="R66" s="9" t="n">
        <v>0.181793</v>
      </c>
      <c r="S66" s="9" t="n">
        <v>21.833021</v>
      </c>
      <c r="T66" s="9" t="n">
        <v>18.780608</v>
      </c>
      <c r="U66" s="9" t="n">
        <v>9.622814</v>
      </c>
    </row>
    <row r="67">
      <c r="A67" s="14" t="n">
        <v>57</v>
      </c>
      <c r="B67" s="14" t="n">
        <v>6100000000</v>
      </c>
      <c r="C67" s="14" t="n">
        <v>39.459562</v>
      </c>
      <c r="D67" s="14" t="n">
        <v>-6e-05</v>
      </c>
      <c r="E67" s="14" t="n">
        <v>0.179322</v>
      </c>
      <c r="F67" t="n">
        <v>21.459562</v>
      </c>
      <c r="G67" t="n">
        <v>17.460228</v>
      </c>
      <c r="H67" t="n">
        <v>8.829908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 t="n">
        <v>39.459562</v>
      </c>
      <c r="Q67" s="9" t="n">
        <v>-6e-05</v>
      </c>
      <c r="R67" s="9" t="n">
        <v>0.179322</v>
      </c>
      <c r="S67" s="9" t="n">
        <v>21.459562</v>
      </c>
      <c r="T67" s="9" t="n">
        <v>17.460228</v>
      </c>
      <c r="U67" s="9" t="n">
        <v>8.829908</v>
      </c>
    </row>
    <row r="68">
      <c r="A68" s="14" t="n">
        <v>58</v>
      </c>
      <c r="B68" s="14" t="n">
        <v>6200000000</v>
      </c>
      <c r="C68" s="14" t="n">
        <v>39.565206</v>
      </c>
      <c r="D68" s="14" t="n">
        <v>0.000381</v>
      </c>
      <c r="E68" s="14" t="n">
        <v>0.177142</v>
      </c>
      <c r="F68" t="n">
        <v>21.565206</v>
      </c>
      <c r="G68" t="n">
        <v>18.113485</v>
      </c>
      <c r="H68" t="n">
        <v>9.047333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 t="n">
        <v>39.565206</v>
      </c>
      <c r="Q68" s="9" t="n">
        <v>0.000381</v>
      </c>
      <c r="R68" s="9" t="n">
        <v>0.177142</v>
      </c>
      <c r="S68" s="9" t="n">
        <v>21.565206</v>
      </c>
      <c r="T68" s="9" t="n">
        <v>18.113485</v>
      </c>
      <c r="U68" s="9" t="n">
        <v>9.047333</v>
      </c>
    </row>
    <row r="69">
      <c r="A69" s="14" t="n">
        <v>59</v>
      </c>
      <c r="B69" s="14" t="n">
        <v>6300000000</v>
      </c>
      <c r="C69" s="14" t="n">
        <v>39.566155</v>
      </c>
      <c r="D69" s="14" t="n">
        <v>-0.000586</v>
      </c>
      <c r="E69" s="14" t="n">
        <v>0.174399</v>
      </c>
      <c r="F69" t="n">
        <v>21.566155</v>
      </c>
      <c r="G69" t="n">
        <v>18.402438</v>
      </c>
      <c r="H69" t="n">
        <v>9.049310999999999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 t="n">
        <v>39.566155</v>
      </c>
      <c r="Q69" s="9" t="n">
        <v>-0.000586</v>
      </c>
      <c r="R69" s="9" t="n">
        <v>0.174399</v>
      </c>
      <c r="S69" s="9" t="n">
        <v>21.566155</v>
      </c>
      <c r="T69" s="9" t="n">
        <v>18.402438</v>
      </c>
      <c r="U69" s="9" t="n">
        <v>9.049310999999999</v>
      </c>
    </row>
    <row r="70">
      <c r="A70" s="14" t="n">
        <v>60</v>
      </c>
      <c r="B70" s="14" t="n">
        <v>6400000000</v>
      </c>
      <c r="C70" s="14" t="n">
        <v>39.488189</v>
      </c>
      <c r="D70" s="14" t="n">
        <v>-9.500000000000001e-05</v>
      </c>
      <c r="E70" s="14" t="n">
        <v>0.171758</v>
      </c>
      <c r="F70" t="n">
        <v>21.488189</v>
      </c>
      <c r="G70" t="n">
        <v>18.350567</v>
      </c>
      <c r="H70" t="n">
        <v>8.888303000000001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 t="n">
        <v>39.488189</v>
      </c>
      <c r="Q70" s="9" t="n">
        <v>-9.500000000000001e-05</v>
      </c>
      <c r="R70" s="9" t="n">
        <v>0.171758</v>
      </c>
      <c r="S70" s="9" t="n">
        <v>21.488189</v>
      </c>
      <c r="T70" s="9" t="n">
        <v>18.350567</v>
      </c>
      <c r="U70" s="9" t="n">
        <v>8.888303000000001</v>
      </c>
    </row>
    <row r="71">
      <c r="A71" s="14" t="n">
        <v>61</v>
      </c>
      <c r="B71" s="14" t="n">
        <v>6500000000</v>
      </c>
      <c r="C71" s="14" t="n">
        <v>39.671369</v>
      </c>
      <c r="D71" s="14" t="n">
        <v>-0.000396</v>
      </c>
      <c r="E71" s="14" t="n">
        <v>0.17061</v>
      </c>
      <c r="F71" t="n">
        <v>21.671369</v>
      </c>
      <c r="G71" t="n">
        <v>19.275604</v>
      </c>
      <c r="H71" t="n">
        <v>9.27122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 t="n">
        <v>39.671369</v>
      </c>
      <c r="Q71" s="9" t="n">
        <v>-0.000396</v>
      </c>
      <c r="R71" s="9" t="n">
        <v>0.17061</v>
      </c>
      <c r="S71" s="9" t="n">
        <v>21.671369</v>
      </c>
      <c r="T71" s="9" t="n">
        <v>19.275604</v>
      </c>
      <c r="U71" s="9" t="n">
        <v>9.27122</v>
      </c>
    </row>
    <row r="72">
      <c r="A72" s="14" t="n">
        <v>62</v>
      </c>
      <c r="B72" s="14" t="n">
        <v>6600000000</v>
      </c>
      <c r="C72" s="14" t="n">
        <v>39.402272</v>
      </c>
      <c r="D72" s="14" t="n">
        <v>-0.000312</v>
      </c>
      <c r="E72" s="14" t="n">
        <v>0.168911</v>
      </c>
      <c r="F72" t="n">
        <v>21.402272</v>
      </c>
      <c r="G72" t="n">
        <v>18.291718</v>
      </c>
      <c r="H72" t="n">
        <v>8.714194000000001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 t="n">
        <v>39.402272</v>
      </c>
      <c r="Q72" s="9" t="n">
        <v>-0.000312</v>
      </c>
      <c r="R72" s="9" t="n">
        <v>0.168911</v>
      </c>
      <c r="S72" s="9" t="n">
        <v>21.402272</v>
      </c>
      <c r="T72" s="9" t="n">
        <v>18.291718</v>
      </c>
      <c r="U72" s="9" t="n">
        <v>8.714194000000001</v>
      </c>
    </row>
    <row r="73">
      <c r="A73" s="14" t="n">
        <v>63</v>
      </c>
      <c r="B73" s="14" t="n">
        <v>6700000000</v>
      </c>
      <c r="C73" s="14" t="n">
        <v>38.958677</v>
      </c>
      <c r="D73" s="14" t="n">
        <v>-6.4e-05</v>
      </c>
      <c r="E73" s="14" t="n">
        <v>0.167482</v>
      </c>
      <c r="F73" t="n">
        <v>20.958677</v>
      </c>
      <c r="G73" t="n">
        <v>16.643458</v>
      </c>
      <c r="H73" t="n">
        <v>7.868061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 t="n">
        <v>38.958677</v>
      </c>
      <c r="Q73" s="9" t="n">
        <v>-6.4e-05</v>
      </c>
      <c r="R73" s="9" t="n">
        <v>0.167482</v>
      </c>
      <c r="S73" s="9" t="n">
        <v>20.958677</v>
      </c>
      <c r="T73" s="9" t="n">
        <v>16.643458</v>
      </c>
      <c r="U73" s="9" t="n">
        <v>7.868061</v>
      </c>
    </row>
    <row r="74">
      <c r="A74" s="14" t="n">
        <v>64</v>
      </c>
      <c r="B74" s="14" t="n">
        <v>6800000000</v>
      </c>
      <c r="C74" s="14" t="n">
        <v>38.775699</v>
      </c>
      <c r="D74" s="14" t="n">
        <v>1e-05</v>
      </c>
      <c r="E74" s="14" t="n">
        <v>0.168287</v>
      </c>
      <c r="F74" t="n">
        <v>20.775699</v>
      </c>
      <c r="G74" t="n">
        <v>15.875011</v>
      </c>
      <c r="H74" t="n">
        <v>7.543449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 t="n">
        <v>38.775699</v>
      </c>
      <c r="Q74" s="9" t="n">
        <v>1e-05</v>
      </c>
      <c r="R74" s="9" t="n">
        <v>0.168287</v>
      </c>
      <c r="S74" s="9" t="n">
        <v>20.775699</v>
      </c>
      <c r="T74" s="9" t="n">
        <v>15.875011</v>
      </c>
      <c r="U74" s="9" t="n">
        <v>7.543449</v>
      </c>
    </row>
    <row r="75">
      <c r="A75" s="14" t="n">
        <v>65</v>
      </c>
      <c r="B75" s="14" t="n">
        <v>6900000000</v>
      </c>
      <c r="C75" s="14" t="n">
        <v>38.785399</v>
      </c>
      <c r="D75" s="14" t="n">
        <v>-0.000586</v>
      </c>
      <c r="E75" s="14" t="n">
        <v>0.171303</v>
      </c>
      <c r="F75" t="n">
        <v>20.785399</v>
      </c>
      <c r="G75" t="n">
        <v>15.63067</v>
      </c>
      <c r="H75" t="n">
        <v>7.560315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 t="n">
        <v>38.785399</v>
      </c>
      <c r="Q75" s="9" t="n">
        <v>-0.000586</v>
      </c>
      <c r="R75" s="9" t="n">
        <v>0.171303</v>
      </c>
      <c r="S75" s="9" t="n">
        <v>20.785399</v>
      </c>
      <c r="T75" s="9" t="n">
        <v>15.63067</v>
      </c>
      <c r="U75" s="9" t="n">
        <v>7.560315</v>
      </c>
    </row>
    <row r="76">
      <c r="A76" s="14" t="n">
        <v>66</v>
      </c>
      <c r="B76" s="14" t="n">
        <v>7000000000</v>
      </c>
      <c r="C76" s="14" t="n">
        <v>38.758651</v>
      </c>
      <c r="D76" s="14" t="n">
        <v>-0.000183</v>
      </c>
      <c r="E76" s="14" t="n">
        <v>0.174384</v>
      </c>
      <c r="F76" t="n">
        <v>20.758651</v>
      </c>
      <c r="G76" t="n">
        <v>15.259388</v>
      </c>
      <c r="H76" t="n">
        <v>7.513894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 t="n">
        <v>38.758651</v>
      </c>
      <c r="Q76" s="9" t="n">
        <v>-0.000183</v>
      </c>
      <c r="R76" s="9" t="n">
        <v>0.174384</v>
      </c>
      <c r="S76" s="9" t="n">
        <v>20.758651</v>
      </c>
      <c r="T76" s="9" t="n">
        <v>15.259388</v>
      </c>
      <c r="U76" s="9" t="n">
        <v>7.513894</v>
      </c>
    </row>
    <row r="77">
      <c r="A77" s="14" t="n">
        <v>67</v>
      </c>
      <c r="B77" s="14" t="n">
        <v>7100000000</v>
      </c>
      <c r="C77" s="14" t="n">
        <v>38.914336</v>
      </c>
      <c r="D77" s="14" t="n">
        <v>-0.000326</v>
      </c>
      <c r="E77" s="14" t="n">
        <v>0.176848</v>
      </c>
      <c r="F77" t="n">
        <v>20.914336</v>
      </c>
      <c r="G77" t="n">
        <v>15.600636</v>
      </c>
      <c r="H77" t="n">
        <v>7.788137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 t="n">
        <v>38.914336</v>
      </c>
      <c r="Q77" s="9" t="n">
        <v>-0.000326</v>
      </c>
      <c r="R77" s="9" t="n">
        <v>0.176848</v>
      </c>
      <c r="S77" s="9" t="n">
        <v>20.914336</v>
      </c>
      <c r="T77" s="9" t="n">
        <v>15.600636</v>
      </c>
      <c r="U77" s="9" t="n">
        <v>7.788137</v>
      </c>
    </row>
    <row r="78">
      <c r="A78" s="14" t="n">
        <v>68</v>
      </c>
      <c r="B78" s="14" t="n">
        <v>7200000000</v>
      </c>
      <c r="C78" s="14" t="n">
        <v>38.943635</v>
      </c>
      <c r="D78" s="14" t="n">
        <v>-0.00011</v>
      </c>
      <c r="E78" s="14" t="n">
        <v>0.177919</v>
      </c>
      <c r="F78" t="n">
        <v>20.943635</v>
      </c>
      <c r="G78" t="n">
        <v>15.612562</v>
      </c>
      <c r="H78" t="n">
        <v>7.840857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 t="n">
        <v>38.943635</v>
      </c>
      <c r="Q78" s="9" t="n">
        <v>-0.00011</v>
      </c>
      <c r="R78" s="9" t="n">
        <v>0.177919</v>
      </c>
      <c r="S78" s="9" t="n">
        <v>20.943635</v>
      </c>
      <c r="T78" s="9" t="n">
        <v>15.612562</v>
      </c>
      <c r="U78" s="9" t="n">
        <v>7.840857</v>
      </c>
    </row>
    <row r="79">
      <c r="A79" s="14" t="n">
        <v>69</v>
      </c>
      <c r="B79" s="14" t="n">
        <v>7300000000</v>
      </c>
      <c r="C79" s="14" t="n">
        <v>38.687157</v>
      </c>
      <c r="D79" s="14" t="n">
        <v>-5e-06</v>
      </c>
      <c r="E79" s="14" t="n">
        <v>0.178094</v>
      </c>
      <c r="F79" t="n">
        <v>20.687157</v>
      </c>
      <c r="G79" t="n">
        <v>14.695501</v>
      </c>
      <c r="H79" t="n">
        <v>7.391212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 t="n">
        <v>38.687157</v>
      </c>
      <c r="Q79" s="9" t="n">
        <v>-5e-06</v>
      </c>
      <c r="R79" s="9" t="n">
        <v>0.178094</v>
      </c>
      <c r="S79" s="9" t="n">
        <v>20.687157</v>
      </c>
      <c r="T79" s="9" t="n">
        <v>14.695501</v>
      </c>
      <c r="U79" s="9" t="n">
        <v>7.391212</v>
      </c>
    </row>
    <row r="80">
      <c r="A80" s="14" t="n">
        <v>70</v>
      </c>
      <c r="B80" s="14" t="n">
        <v>7400000000</v>
      </c>
      <c r="C80" s="14" t="n">
        <v>38.52765</v>
      </c>
      <c r="D80" s="14" t="n">
        <v>-0.00028</v>
      </c>
      <c r="E80" s="14" t="n">
        <v>0.178741</v>
      </c>
      <c r="F80" t="n">
        <v>20.52765</v>
      </c>
      <c r="G80" t="n">
        <v>14.109777</v>
      </c>
      <c r="H80" t="n">
        <v>7.124674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 t="n">
        <v>38.52765</v>
      </c>
      <c r="Q80" s="9" t="n">
        <v>-0.00028</v>
      </c>
      <c r="R80" s="9" t="n">
        <v>0.178741</v>
      </c>
      <c r="S80" s="9" t="n">
        <v>20.52765</v>
      </c>
      <c r="T80" s="9" t="n">
        <v>14.109777</v>
      </c>
      <c r="U80" s="9" t="n">
        <v>7.124674</v>
      </c>
    </row>
    <row r="81">
      <c r="A81" s="14" t="n">
        <v>71</v>
      </c>
      <c r="B81" s="14" t="n">
        <v>7500000000</v>
      </c>
      <c r="C81" s="14" t="n">
        <v>38.458362</v>
      </c>
      <c r="D81" s="14" t="n">
        <v>-0.000329</v>
      </c>
      <c r="E81" s="14" t="n">
        <v>0.178216</v>
      </c>
      <c r="F81" t="n">
        <v>20.458362</v>
      </c>
      <c r="G81" t="n">
        <v>13.925347</v>
      </c>
      <c r="H81" t="n">
        <v>7.011907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 t="n">
        <v>38.458362</v>
      </c>
      <c r="Q81" s="9" t="n">
        <v>-0.000329</v>
      </c>
      <c r="R81" s="9" t="n">
        <v>0.178216</v>
      </c>
      <c r="S81" s="9" t="n">
        <v>20.458362</v>
      </c>
      <c r="T81" s="9" t="n">
        <v>13.925347</v>
      </c>
      <c r="U81" s="9" t="n">
        <v>7.011907</v>
      </c>
    </row>
    <row r="82">
      <c r="A82" s="14" t="n">
        <v>72</v>
      </c>
      <c r="B82" s="14" t="n">
        <v>7600000000</v>
      </c>
      <c r="C82" s="14" t="n">
        <v>38.499648</v>
      </c>
      <c r="D82" s="14" t="n">
        <v>-0.000287</v>
      </c>
      <c r="E82" s="14" t="n">
        <v>0.179167</v>
      </c>
      <c r="F82" t="n">
        <v>20.499648</v>
      </c>
      <c r="G82" t="n">
        <v>13.984912</v>
      </c>
      <c r="H82" t="n">
        <v>7.078884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 t="n">
        <v>38.499648</v>
      </c>
      <c r="Q82" s="9" t="n">
        <v>-0.000287</v>
      </c>
      <c r="R82" s="9" t="n">
        <v>0.179167</v>
      </c>
      <c r="S82" s="9" t="n">
        <v>20.499648</v>
      </c>
      <c r="T82" s="9" t="n">
        <v>13.984912</v>
      </c>
      <c r="U82" s="9" t="n">
        <v>7.078884</v>
      </c>
    </row>
    <row r="83">
      <c r="A83" s="14" t="n">
        <v>73</v>
      </c>
      <c r="B83" s="14" t="n">
        <v>7700000000</v>
      </c>
      <c r="C83" s="14" t="n">
        <v>38.798128</v>
      </c>
      <c r="D83" s="14" t="n">
        <v>2.7e-05</v>
      </c>
      <c r="E83" s="14" t="n">
        <v>0.177459</v>
      </c>
      <c r="F83" t="n">
        <v>20.798128</v>
      </c>
      <c r="G83" t="n">
        <v>15.133127</v>
      </c>
      <c r="H83" t="n">
        <v>7.582507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 t="n">
        <v>38.798128</v>
      </c>
      <c r="Q83" s="9" t="n">
        <v>2.7e-05</v>
      </c>
      <c r="R83" s="9" t="n">
        <v>0.177459</v>
      </c>
      <c r="S83" s="9" t="n">
        <v>20.798128</v>
      </c>
      <c r="T83" s="9" t="n">
        <v>15.133127</v>
      </c>
      <c r="U83" s="9" t="n">
        <v>7.582507</v>
      </c>
    </row>
    <row r="84">
      <c r="A84" s="14" t="n">
        <v>74</v>
      </c>
      <c r="B84" s="14" t="n">
        <v>7800000000</v>
      </c>
      <c r="C84" s="14" t="n">
        <v>38.628585</v>
      </c>
      <c r="D84" s="14" t="n">
        <v>-0.00024</v>
      </c>
      <c r="E84" s="14" t="n">
        <v>0.176857</v>
      </c>
      <c r="F84" t="n">
        <v>20.628585</v>
      </c>
      <c r="G84" t="n">
        <v>14.598331</v>
      </c>
      <c r="H84" t="n">
        <v>7.292199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 t="n">
        <v>38.628585</v>
      </c>
      <c r="Q84" s="9" t="n">
        <v>-0.00024</v>
      </c>
      <c r="R84" s="9" t="n">
        <v>0.176857</v>
      </c>
      <c r="S84" s="9" t="n">
        <v>20.628585</v>
      </c>
      <c r="T84" s="9" t="n">
        <v>14.598331</v>
      </c>
      <c r="U84" s="9" t="n">
        <v>7.292199</v>
      </c>
    </row>
    <row r="85">
      <c r="A85" s="14" t="n">
        <v>75</v>
      </c>
      <c r="B85" s="14" t="n">
        <v>7900000000</v>
      </c>
      <c r="C85" s="14" t="n">
        <v>38.499962</v>
      </c>
      <c r="D85" s="14" t="n">
        <v>-0.000326</v>
      </c>
      <c r="E85" s="14" t="n">
        <v>0.178328</v>
      </c>
      <c r="F85" t="n">
        <v>20.499962</v>
      </c>
      <c r="G85" t="n">
        <v>14.051734</v>
      </c>
      <c r="H85" t="n">
        <v>7.079396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 t="n">
        <v>38.499962</v>
      </c>
      <c r="Q85" s="9" t="n">
        <v>-0.000326</v>
      </c>
      <c r="R85" s="9" t="n">
        <v>0.178328</v>
      </c>
      <c r="S85" s="9" t="n">
        <v>20.499962</v>
      </c>
      <c r="T85" s="9" t="n">
        <v>14.051734</v>
      </c>
      <c r="U85" s="9" t="n">
        <v>7.079396</v>
      </c>
    </row>
    <row r="86">
      <c r="A86" s="14" t="n">
        <v>76</v>
      </c>
      <c r="B86" s="14" t="n">
        <v>8000000000</v>
      </c>
      <c r="C86" s="14" t="n">
        <v>38.454539</v>
      </c>
      <c r="D86" s="14" t="n">
        <v>-0.000321</v>
      </c>
      <c r="E86" s="14" t="n">
        <v>0.177227</v>
      </c>
      <c r="F86" t="n">
        <v>20.454539</v>
      </c>
      <c r="G86" t="n">
        <v>13.990655</v>
      </c>
      <c r="H86" t="n">
        <v>7.005738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 t="n">
        <v>38.454539</v>
      </c>
      <c r="Q86" s="9" t="n">
        <v>-0.000321</v>
      </c>
      <c r="R86" s="9" t="n">
        <v>0.177227</v>
      </c>
      <c r="S86" s="9" t="n">
        <v>20.454539</v>
      </c>
      <c r="T86" s="9" t="n">
        <v>13.990655</v>
      </c>
      <c r="U86" s="9" t="n">
        <v>7.005738</v>
      </c>
    </row>
    <row r="87">
      <c r="A87" s="14" t="n">
        <v>77</v>
      </c>
      <c r="B87" s="14" t="n">
        <v>8100000000</v>
      </c>
      <c r="C87" s="14" t="n">
        <v>38.195389</v>
      </c>
      <c r="D87" s="14" t="n">
        <v>-0.00024</v>
      </c>
      <c r="E87" s="14" t="n">
        <v>0.17604</v>
      </c>
      <c r="F87" t="n">
        <v>20.195389</v>
      </c>
      <c r="G87" t="n">
        <v>13.261631</v>
      </c>
      <c r="H87" t="n">
        <v>6.599924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 t="n">
        <v>38.195389</v>
      </c>
      <c r="Q87" s="9" t="n">
        <v>-0.00024</v>
      </c>
      <c r="R87" s="9" t="n">
        <v>0.17604</v>
      </c>
      <c r="S87" s="9" t="n">
        <v>20.195389</v>
      </c>
      <c r="T87" s="9" t="n">
        <v>13.261631</v>
      </c>
      <c r="U87" s="9" t="n">
        <v>6.599924</v>
      </c>
    </row>
    <row r="88">
      <c r="A88" s="14" t="n">
        <v>78</v>
      </c>
      <c r="B88" s="14" t="n">
        <v>8200000000</v>
      </c>
      <c r="C88" s="14" t="n">
        <v>38.132376</v>
      </c>
      <c r="D88" s="14" t="n">
        <v>-0.000403</v>
      </c>
      <c r="E88" s="14" t="n">
        <v>0.176352</v>
      </c>
      <c r="F88" t="n">
        <v>20.132376</v>
      </c>
      <c r="G88" t="n">
        <v>13.045691</v>
      </c>
      <c r="H88" t="n">
        <v>6.504855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 t="n">
        <v>38.132376</v>
      </c>
      <c r="Q88" s="9" t="n">
        <v>-0.000403</v>
      </c>
      <c r="R88" s="9" t="n">
        <v>0.176352</v>
      </c>
      <c r="S88" s="9" t="n">
        <v>20.132376</v>
      </c>
      <c r="T88" s="9" t="n">
        <v>13.045691</v>
      </c>
      <c r="U88" s="9" t="n">
        <v>6.504855</v>
      </c>
    </row>
    <row r="89">
      <c r="A89" s="14" t="n">
        <v>79</v>
      </c>
      <c r="B89" s="14" t="n">
        <v>8300000000</v>
      </c>
      <c r="C89" s="14" t="n">
        <v>37.994668</v>
      </c>
      <c r="D89" s="14" t="n">
        <v>-0.000344</v>
      </c>
      <c r="E89" s="14" t="n">
        <v>0.175343</v>
      </c>
      <c r="F89" t="n">
        <v>19.994668</v>
      </c>
      <c r="G89" t="n">
        <v>12.70721</v>
      </c>
      <c r="H89" t="n">
        <v>6.301831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 t="n">
        <v>37.994668</v>
      </c>
      <c r="Q89" s="9" t="n">
        <v>-0.000344</v>
      </c>
      <c r="R89" s="9" t="n">
        <v>0.175343</v>
      </c>
      <c r="S89" s="9" t="n">
        <v>19.994668</v>
      </c>
      <c r="T89" s="9" t="n">
        <v>12.70721</v>
      </c>
      <c r="U89" s="9" t="n">
        <v>6.301831</v>
      </c>
    </row>
    <row r="90">
      <c r="A90" s="14" t="n">
        <v>80</v>
      </c>
      <c r="B90" s="14" t="n">
        <v>8400000000</v>
      </c>
      <c r="C90" s="14" t="n">
        <v>37.498556</v>
      </c>
      <c r="D90" s="14" t="n">
        <v>4.4e-05</v>
      </c>
      <c r="E90" s="14" t="n">
        <v>0.174479</v>
      </c>
      <c r="F90" t="n">
        <v>19.498556</v>
      </c>
      <c r="G90" t="n">
        <v>11.377656</v>
      </c>
      <c r="H90" t="n">
        <v>5.621544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 t="n">
        <v>37.498556</v>
      </c>
      <c r="Q90" s="9" t="n">
        <v>4.4e-05</v>
      </c>
      <c r="R90" s="9" t="n">
        <v>0.174479</v>
      </c>
      <c r="S90" s="9" t="n">
        <v>19.498556</v>
      </c>
      <c r="T90" s="9" t="n">
        <v>11.377656</v>
      </c>
      <c r="U90" s="9" t="n">
        <v>5.621544</v>
      </c>
    </row>
    <row r="91">
      <c r="A91" s="14" t="n">
        <v>81</v>
      </c>
      <c r="B91" s="14" t="n">
        <v>8500000000</v>
      </c>
      <c r="C91" s="14" t="n">
        <v>37.345019</v>
      </c>
      <c r="D91" s="14" t="n">
        <v>-0.000406</v>
      </c>
      <c r="E91" s="14" t="n">
        <v>0.175014</v>
      </c>
      <c r="F91" t="n">
        <v>19.345019</v>
      </c>
      <c r="G91" t="n">
        <v>10.94438</v>
      </c>
      <c r="H91" t="n">
        <v>5.426276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 t="n">
        <v>37.345019</v>
      </c>
      <c r="Q91" s="9" t="n">
        <v>-0.000406</v>
      </c>
      <c r="R91" s="9" t="n">
        <v>0.175014</v>
      </c>
      <c r="S91" s="9" t="n">
        <v>19.345019</v>
      </c>
      <c r="T91" s="9" t="n">
        <v>10.94438</v>
      </c>
      <c r="U91" s="9" t="n">
        <v>5.426276</v>
      </c>
    </row>
    <row r="92">
      <c r="A92" s="14" t="n">
        <v>82</v>
      </c>
      <c r="B92" s="14" t="n">
        <v>8600000000</v>
      </c>
      <c r="C92" s="14" t="n">
        <v>37.335586</v>
      </c>
      <c r="D92" s="14" t="n">
        <v>-0.00011</v>
      </c>
      <c r="E92" s="14" t="n">
        <v>0.174641</v>
      </c>
      <c r="F92" t="n">
        <v>19.335586</v>
      </c>
      <c r="G92" t="n">
        <v>10.943661</v>
      </c>
      <c r="H92" t="n">
        <v>5.414503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 t="n">
        <v>37.335586</v>
      </c>
      <c r="Q92" s="9" t="n">
        <v>-0.00011</v>
      </c>
      <c r="R92" s="9" t="n">
        <v>0.174641</v>
      </c>
      <c r="S92" s="9" t="n">
        <v>19.335586</v>
      </c>
      <c r="T92" s="9" t="n">
        <v>10.943661</v>
      </c>
      <c r="U92" s="9" t="n">
        <v>5.414503</v>
      </c>
    </row>
    <row r="93">
      <c r="A93" s="14" t="n">
        <v>83</v>
      </c>
      <c r="B93" s="14" t="n">
        <v>8700000000</v>
      </c>
      <c r="C93" s="14" t="n">
        <v>37.06257</v>
      </c>
      <c r="D93" s="14" t="n">
        <v>3.7e-05</v>
      </c>
      <c r="E93" s="14" t="n">
        <v>0.174758</v>
      </c>
      <c r="F93" t="n">
        <v>19.06257</v>
      </c>
      <c r="G93" t="n">
        <v>10.262191</v>
      </c>
      <c r="H93" t="n">
        <v>5.084603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 t="n">
        <v>37.06257</v>
      </c>
      <c r="Q93" s="9" t="n">
        <v>3.7e-05</v>
      </c>
      <c r="R93" s="9" t="n">
        <v>0.174758</v>
      </c>
      <c r="S93" s="9" t="n">
        <v>19.06257</v>
      </c>
      <c r="T93" s="9" t="n">
        <v>10.262191</v>
      </c>
      <c r="U93" s="9" t="n">
        <v>5.084603</v>
      </c>
    </row>
    <row r="94">
      <c r="A94" s="14" t="n">
        <v>84</v>
      </c>
      <c r="B94" s="14" t="n">
        <v>8800000000</v>
      </c>
      <c r="C94" s="14" t="n">
        <v>37.095617</v>
      </c>
      <c r="D94" s="14" t="n">
        <v>-0.000807</v>
      </c>
      <c r="E94" s="14" t="n">
        <v>0.174015</v>
      </c>
      <c r="F94" t="n">
        <v>19.095617</v>
      </c>
      <c r="G94" t="n">
        <v>10.385687</v>
      </c>
      <c r="H94" t="n">
        <v>5.123441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 t="n">
        <v>37.095617</v>
      </c>
      <c r="Q94" s="9" t="n">
        <v>-0.000807</v>
      </c>
      <c r="R94" s="9" t="n">
        <v>0.174015</v>
      </c>
      <c r="S94" s="9" t="n">
        <v>19.095617</v>
      </c>
      <c r="T94" s="9" t="n">
        <v>10.385687</v>
      </c>
      <c r="U94" s="9" t="n">
        <v>5.123441</v>
      </c>
    </row>
    <row r="95">
      <c r="A95" s="14" t="n">
        <v>85</v>
      </c>
      <c r="B95" s="14" t="n">
        <v>8900000000</v>
      </c>
      <c r="C95" s="14" t="n">
        <v>37.138043</v>
      </c>
      <c r="D95" s="14" t="n">
        <v>-0.000271</v>
      </c>
      <c r="E95" s="14" t="n">
        <v>0.173777</v>
      </c>
      <c r="F95" t="n">
        <v>19.138043</v>
      </c>
      <c r="G95" t="n">
        <v>10.503302</v>
      </c>
      <c r="H95" t="n">
        <v>5.173736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 t="n">
        <v>37.138043</v>
      </c>
      <c r="Q95" s="9" t="n">
        <v>-0.000271</v>
      </c>
      <c r="R95" s="9" t="n">
        <v>0.173777</v>
      </c>
      <c r="S95" s="9" t="n">
        <v>19.138043</v>
      </c>
      <c r="T95" s="9" t="n">
        <v>10.503302</v>
      </c>
      <c r="U95" s="9" t="n">
        <v>5.173736</v>
      </c>
    </row>
    <row r="96">
      <c r="A96" s="14" t="n">
        <v>86</v>
      </c>
      <c r="B96" s="14" t="n">
        <v>9000000000</v>
      </c>
      <c r="C96" s="14" t="n">
        <v>36.967633</v>
      </c>
      <c r="D96" s="14" t="n">
        <v>-4.7e-05</v>
      </c>
      <c r="E96" s="14" t="n">
        <v>0.171307</v>
      </c>
      <c r="F96" t="n">
        <v>18.967633</v>
      </c>
      <c r="G96" t="n">
        <v>10.2397</v>
      </c>
      <c r="H96" t="n">
        <v>4.974658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 t="n">
        <v>36.967633</v>
      </c>
      <c r="Q96" s="9" t="n">
        <v>-4.7e-05</v>
      </c>
      <c r="R96" s="9" t="n">
        <v>0.171307</v>
      </c>
      <c r="S96" s="9" t="n">
        <v>18.967633</v>
      </c>
      <c r="T96" s="9" t="n">
        <v>10.2397</v>
      </c>
      <c r="U96" s="9" t="n">
        <v>4.974658</v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39.382375</v>
      </c>
      <c r="D11" s="14" t="n">
        <v>-0.000122</v>
      </c>
      <c r="E11" s="14" t="n">
        <v>0.517985</v>
      </c>
      <c r="F11" t="n">
        <v>12.382375</v>
      </c>
      <c r="G11" t="n">
        <v>56.352756</v>
      </c>
      <c r="H11" t="n">
        <v>8.674360999999999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39.382375</v>
      </c>
      <c r="Q11" s="9" t="n">
        <v>-0.000122</v>
      </c>
      <c r="R11" s="9" t="n">
        <v>0.517985</v>
      </c>
      <c r="S11" s="9" t="n">
        <v>12.382375</v>
      </c>
      <c r="T11" s="9" t="n">
        <v>56.352756</v>
      </c>
      <c r="U11" s="9" t="n">
        <v>8.674360999999999</v>
      </c>
    </row>
    <row r="12">
      <c r="A12" s="14" t="n">
        <v>2</v>
      </c>
      <c r="B12" s="14" t="n">
        <v>600000000</v>
      </c>
      <c r="C12" s="14" t="n">
        <v>39.366771</v>
      </c>
      <c r="D12" s="14" t="n">
        <v>-0.00012</v>
      </c>
      <c r="E12" s="14" t="n">
        <v>0.493286</v>
      </c>
      <c r="F12" t="n">
        <v>12.366771</v>
      </c>
      <c r="G12" t="n">
        <v>58.949217</v>
      </c>
      <c r="H12" t="n">
        <v>8.643250999999999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39.366771</v>
      </c>
      <c r="Q12" s="9" t="n">
        <v>-0.00012</v>
      </c>
      <c r="R12" s="9" t="n">
        <v>0.493286</v>
      </c>
      <c r="S12" s="9" t="n">
        <v>12.366771</v>
      </c>
      <c r="T12" s="9" t="n">
        <v>58.949217</v>
      </c>
      <c r="U12" s="9" t="n">
        <v>8.643250999999999</v>
      </c>
    </row>
    <row r="13">
      <c r="A13" s="14" t="n">
        <v>3</v>
      </c>
      <c r="B13" s="14" t="n">
        <v>700000000</v>
      </c>
      <c r="C13" s="14" t="n">
        <v>39.289049</v>
      </c>
      <c r="D13" s="14" t="n">
        <v>0.000318</v>
      </c>
      <c r="E13" s="14" t="n">
        <v>0.499063</v>
      </c>
      <c r="F13" t="n">
        <v>12.289049</v>
      </c>
      <c r="G13" t="n">
        <v>57.169686</v>
      </c>
      <c r="H13" t="n">
        <v>8.489945000000001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39.289049</v>
      </c>
      <c r="Q13" s="9" t="n">
        <v>0.000318</v>
      </c>
      <c r="R13" s="9" t="n">
        <v>0.499063</v>
      </c>
      <c r="S13" s="9" t="n">
        <v>12.289049</v>
      </c>
      <c r="T13" s="9" t="n">
        <v>57.169686</v>
      </c>
      <c r="U13" s="9" t="n">
        <v>8.489945000000001</v>
      </c>
    </row>
    <row r="14">
      <c r="A14" s="14" t="n">
        <v>4</v>
      </c>
      <c r="B14" s="14" t="n">
        <v>800000000</v>
      </c>
      <c r="C14" s="14" t="n">
        <v>39.619725</v>
      </c>
      <c r="D14" s="14" t="n">
        <v>6.8e-05</v>
      </c>
      <c r="E14" s="14" t="n">
        <v>0.538351</v>
      </c>
      <c r="F14" t="n">
        <v>12.619725</v>
      </c>
      <c r="G14" t="n">
        <v>57.453453</v>
      </c>
      <c r="H14" t="n">
        <v>9.161624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39.619725</v>
      </c>
      <c r="Q14" s="9" t="n">
        <v>6.8e-05</v>
      </c>
      <c r="R14" s="9" t="n">
        <v>0.538351</v>
      </c>
      <c r="S14" s="9" t="n">
        <v>12.619725</v>
      </c>
      <c r="T14" s="9" t="n">
        <v>57.453453</v>
      </c>
      <c r="U14" s="9" t="n">
        <v>9.161624</v>
      </c>
    </row>
    <row r="15">
      <c r="A15" s="14" t="n">
        <v>5</v>
      </c>
      <c r="B15" s="14" t="n">
        <v>900000000</v>
      </c>
      <c r="C15" s="14" t="n">
        <v>39.806788</v>
      </c>
      <c r="D15" s="14" t="n">
        <v>0.00014</v>
      </c>
      <c r="E15" s="14" t="n">
        <v>0.5497649999999999</v>
      </c>
      <c r="F15" t="n">
        <v>12.806788</v>
      </c>
      <c r="G15" t="n">
        <v>58.880179</v>
      </c>
      <c r="H15" t="n">
        <v>9.564864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39.806788</v>
      </c>
      <c r="Q15" s="9" t="n">
        <v>0.00014</v>
      </c>
      <c r="R15" s="9" t="n">
        <v>0.5497649999999999</v>
      </c>
      <c r="S15" s="9" t="n">
        <v>12.806788</v>
      </c>
      <c r="T15" s="9" t="n">
        <v>58.880179</v>
      </c>
      <c r="U15" s="9" t="n">
        <v>9.564864</v>
      </c>
    </row>
    <row r="16">
      <c r="A16" s="14" t="n">
        <v>6</v>
      </c>
      <c r="B16" s="14" t="n">
        <v>1000000000</v>
      </c>
      <c r="C16" s="14" t="n">
        <v>39.812635</v>
      </c>
      <c r="D16" s="14" t="n">
        <v>-0.000331</v>
      </c>
      <c r="E16" s="14" t="n">
        <v>0.5733740000000001</v>
      </c>
      <c r="F16" t="n">
        <v>12.812635</v>
      </c>
      <c r="G16" t="n">
        <v>56.536021</v>
      </c>
      <c r="H16" t="n">
        <v>9.57775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39.812635</v>
      </c>
      <c r="Q16" s="9" t="n">
        <v>-0.000331</v>
      </c>
      <c r="R16" s="9" t="n">
        <v>0.5733740000000001</v>
      </c>
      <c r="S16" s="9" t="n">
        <v>12.812635</v>
      </c>
      <c r="T16" s="9" t="n">
        <v>56.536021</v>
      </c>
      <c r="U16" s="9" t="n">
        <v>9.57775</v>
      </c>
    </row>
    <row r="17">
      <c r="A17" s="14" t="n">
        <v>7</v>
      </c>
      <c r="B17" s="14" t="n">
        <v>1100000000</v>
      </c>
      <c r="C17" s="14" t="n">
        <v>39.725522</v>
      </c>
      <c r="D17" s="14" t="n">
        <v>2.7e-05</v>
      </c>
      <c r="E17" s="14" t="n">
        <v>0.572431</v>
      </c>
      <c r="F17" t="n">
        <v>12.725522</v>
      </c>
      <c r="G17" t="n">
        <v>55.442489</v>
      </c>
      <c r="H17" t="n">
        <v>9.387549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39.725522</v>
      </c>
      <c r="Q17" s="9" t="n">
        <v>2.7e-05</v>
      </c>
      <c r="R17" s="9" t="n">
        <v>0.572431</v>
      </c>
      <c r="S17" s="9" t="n">
        <v>12.725522</v>
      </c>
      <c r="T17" s="9" t="n">
        <v>55.442489</v>
      </c>
      <c r="U17" s="9" t="n">
        <v>9.387549</v>
      </c>
    </row>
    <row r="18">
      <c r="A18" s="14" t="n">
        <v>8</v>
      </c>
      <c r="B18" s="14" t="n">
        <v>1200000000</v>
      </c>
      <c r="C18" s="14" t="n">
        <v>39.374186</v>
      </c>
      <c r="D18" s="14" t="n">
        <v>-0.000115</v>
      </c>
      <c r="E18" s="14" t="n">
        <v>0.591105</v>
      </c>
      <c r="F18" t="n">
        <v>12.374186</v>
      </c>
      <c r="G18" t="n">
        <v>49.283172</v>
      </c>
      <c r="H18" t="n">
        <v>8.658021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39.374186</v>
      </c>
      <c r="Q18" s="9" t="n">
        <v>-0.000115</v>
      </c>
      <c r="R18" s="9" t="n">
        <v>0.591105</v>
      </c>
      <c r="S18" s="9" t="n">
        <v>12.374186</v>
      </c>
      <c r="T18" s="9" t="n">
        <v>49.283172</v>
      </c>
      <c r="U18" s="9" t="n">
        <v>8.658021</v>
      </c>
    </row>
    <row r="19">
      <c r="A19" s="14" t="n">
        <v>9</v>
      </c>
      <c r="B19" s="14" t="n">
        <v>1300000000</v>
      </c>
      <c r="C19" s="14" t="n">
        <v>39.423717</v>
      </c>
      <c r="D19" s="14" t="n">
        <v>-0.000419</v>
      </c>
      <c r="E19" s="14" t="n">
        <v>0.6304419999999999</v>
      </c>
      <c r="F19" t="n">
        <v>12.423717</v>
      </c>
      <c r="G19" t="n">
        <v>46.770689</v>
      </c>
      <c r="H19" t="n">
        <v>8.757329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39.423717</v>
      </c>
      <c r="Q19" s="9" t="n">
        <v>-0.000419</v>
      </c>
      <c r="R19" s="9" t="n">
        <v>0.6304419999999999</v>
      </c>
      <c r="S19" s="9" t="n">
        <v>12.423717</v>
      </c>
      <c r="T19" s="9" t="n">
        <v>46.770689</v>
      </c>
      <c r="U19" s="9" t="n">
        <v>8.757329</v>
      </c>
    </row>
    <row r="20">
      <c r="A20" s="14" t="n">
        <v>10</v>
      </c>
      <c r="B20" s="14" t="n">
        <v>1400000000</v>
      </c>
      <c r="C20" s="14" t="n">
        <v>39.418516</v>
      </c>
      <c r="D20" s="14" t="n">
        <v>-0.000443</v>
      </c>
      <c r="E20" s="14" t="n">
        <v>0.643107</v>
      </c>
      <c r="F20" t="n">
        <v>12.418516</v>
      </c>
      <c r="G20" t="n">
        <v>45.791436</v>
      </c>
      <c r="H20" t="n">
        <v>8.746848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39.418516</v>
      </c>
      <c r="Q20" s="9" t="n">
        <v>-0.000443</v>
      </c>
      <c r="R20" s="9" t="n">
        <v>0.643107</v>
      </c>
      <c r="S20" s="9" t="n">
        <v>12.418516</v>
      </c>
      <c r="T20" s="9" t="n">
        <v>45.791436</v>
      </c>
      <c r="U20" s="9" t="n">
        <v>8.746848</v>
      </c>
    </row>
    <row r="21">
      <c r="A21" s="14" t="n">
        <v>11</v>
      </c>
      <c r="B21" s="14" t="n">
        <v>1500000000</v>
      </c>
      <c r="C21" s="14" t="n">
        <v>39.348883</v>
      </c>
      <c r="D21" s="14" t="n">
        <v>-0.00024</v>
      </c>
      <c r="E21" s="14" t="n">
        <v>0.655046</v>
      </c>
      <c r="F21" t="n">
        <v>12.348883</v>
      </c>
      <c r="G21" t="n">
        <v>44.1983</v>
      </c>
      <c r="H21" t="n">
        <v>8.607723999999999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39.348883</v>
      </c>
      <c r="Q21" s="9" t="n">
        <v>-0.00024</v>
      </c>
      <c r="R21" s="9" t="n">
        <v>0.655046</v>
      </c>
      <c r="S21" s="9" t="n">
        <v>12.348883</v>
      </c>
      <c r="T21" s="9" t="n">
        <v>44.1983</v>
      </c>
      <c r="U21" s="9" t="n">
        <v>8.607723999999999</v>
      </c>
    </row>
    <row r="22">
      <c r="A22" s="14" t="n">
        <v>12</v>
      </c>
      <c r="B22" s="14" t="n">
        <v>1600000000</v>
      </c>
      <c r="C22" s="14" t="n">
        <v>39.248171</v>
      </c>
      <c r="D22" s="14" t="n">
        <v>-0.000295</v>
      </c>
      <c r="E22" s="14" t="n">
        <v>0.674156</v>
      </c>
      <c r="F22" t="n">
        <v>12.248171</v>
      </c>
      <c r="G22" t="n">
        <v>41.900098</v>
      </c>
      <c r="H22" t="n">
        <v>8.410408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39.248171</v>
      </c>
      <c r="Q22" s="9" t="n">
        <v>-0.000295</v>
      </c>
      <c r="R22" s="9" t="n">
        <v>0.674156</v>
      </c>
      <c r="S22" s="9" t="n">
        <v>12.248171</v>
      </c>
      <c r="T22" s="9" t="n">
        <v>41.900098</v>
      </c>
      <c r="U22" s="9" t="n">
        <v>8.410408</v>
      </c>
    </row>
    <row r="23">
      <c r="A23" s="14" t="n">
        <v>13</v>
      </c>
      <c r="B23" s="14" t="n">
        <v>1700000000</v>
      </c>
      <c r="C23" s="14" t="n">
        <v>39.241689</v>
      </c>
      <c r="D23" s="14" t="n">
        <v>-0.00029</v>
      </c>
      <c r="E23" s="14" t="n">
        <v>0.666402</v>
      </c>
      <c r="F23" t="n">
        <v>12.241689</v>
      </c>
      <c r="G23" t="n">
        <v>42.320448</v>
      </c>
      <c r="H23" t="n">
        <v>8.397864999999999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39.241689</v>
      </c>
      <c r="Q23" s="9" t="n">
        <v>-0.00029</v>
      </c>
      <c r="R23" s="9" t="n">
        <v>0.666402</v>
      </c>
      <c r="S23" s="9" t="n">
        <v>12.241689</v>
      </c>
      <c r="T23" s="9" t="n">
        <v>42.320448</v>
      </c>
      <c r="U23" s="9" t="n">
        <v>8.397864999999999</v>
      </c>
    </row>
    <row r="24">
      <c r="A24" s="14" t="n">
        <v>14</v>
      </c>
      <c r="B24" s="14" t="n">
        <v>1800000000</v>
      </c>
      <c r="C24" s="14" t="n">
        <v>39.514903</v>
      </c>
      <c r="D24" s="14" t="n">
        <v>-0.000177</v>
      </c>
      <c r="E24" s="14" t="n">
        <v>0.648678</v>
      </c>
      <c r="F24" t="n">
        <v>12.514903</v>
      </c>
      <c r="G24" t="n">
        <v>46.478917</v>
      </c>
      <c r="H24" t="n">
        <v>8.943144999999999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39.514903</v>
      </c>
      <c r="Q24" s="9" t="n">
        <v>-0.000177</v>
      </c>
      <c r="R24" s="9" t="n">
        <v>0.648678</v>
      </c>
      <c r="S24" s="9" t="n">
        <v>12.514903</v>
      </c>
      <c r="T24" s="9" t="n">
        <v>46.478917</v>
      </c>
      <c r="U24" s="9" t="n">
        <v>8.943144999999999</v>
      </c>
    </row>
    <row r="25">
      <c r="A25" s="14" t="n">
        <v>15</v>
      </c>
      <c r="B25" s="14" t="n">
        <v>1900000000</v>
      </c>
      <c r="C25" s="14" t="n">
        <v>39.565972</v>
      </c>
      <c r="D25" s="14" t="n">
        <v>-0.000596</v>
      </c>
      <c r="E25" s="14" t="n">
        <v>0.609496</v>
      </c>
      <c r="F25" t="n">
        <v>12.565972</v>
      </c>
      <c r="G25" t="n">
        <v>50.086721</v>
      </c>
      <c r="H25" t="n">
        <v>9.048928999999999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39.565972</v>
      </c>
      <c r="Q25" s="9" t="n">
        <v>-0.000596</v>
      </c>
      <c r="R25" s="9" t="n">
        <v>0.609496</v>
      </c>
      <c r="S25" s="9" t="n">
        <v>12.565972</v>
      </c>
      <c r="T25" s="9" t="n">
        <v>50.086721</v>
      </c>
      <c r="U25" s="9" t="n">
        <v>9.048928999999999</v>
      </c>
    </row>
    <row r="26">
      <c r="A26" s="14" t="n">
        <v>16</v>
      </c>
      <c r="B26" s="14" t="n">
        <v>2000000000</v>
      </c>
      <c r="C26" s="14" t="n">
        <v>39.786982</v>
      </c>
      <c r="D26" s="14" t="n">
        <v>-0.000267</v>
      </c>
      <c r="E26" s="14" t="n">
        <v>0.611442</v>
      </c>
      <c r="F26" t="n">
        <v>12.786982</v>
      </c>
      <c r="G26" t="n">
        <v>52.686629</v>
      </c>
      <c r="H26" t="n">
        <v>9.521342000000001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39.786982</v>
      </c>
      <c r="Q26" s="9" t="n">
        <v>-0.000267</v>
      </c>
      <c r="R26" s="9" t="n">
        <v>0.611442</v>
      </c>
      <c r="S26" s="9" t="n">
        <v>12.786982</v>
      </c>
      <c r="T26" s="9" t="n">
        <v>52.686629</v>
      </c>
      <c r="U26" s="9" t="n">
        <v>9.521342000000001</v>
      </c>
    </row>
    <row r="27">
      <c r="A27" s="14" t="n">
        <v>17</v>
      </c>
      <c r="B27" s="14" t="n">
        <v>2100000000</v>
      </c>
      <c r="C27" s="14" t="n">
        <v>40.005346</v>
      </c>
      <c r="D27" s="14" t="n">
        <v>-0.000203</v>
      </c>
      <c r="E27" s="14" t="n">
        <v>0.61895</v>
      </c>
      <c r="F27" t="n">
        <v>13.005346</v>
      </c>
      <c r="G27" t="n">
        <v>54.880576</v>
      </c>
      <c r="H27" t="n">
        <v>10.012318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40.005346</v>
      </c>
      <c r="Q27" s="9" t="n">
        <v>-0.000203</v>
      </c>
      <c r="R27" s="9" t="n">
        <v>0.61895</v>
      </c>
      <c r="S27" s="9" t="n">
        <v>13.005346</v>
      </c>
      <c r="T27" s="9" t="n">
        <v>54.880576</v>
      </c>
      <c r="U27" s="9" t="n">
        <v>10.012318</v>
      </c>
    </row>
    <row r="28">
      <c r="A28" s="14" t="n">
        <v>18</v>
      </c>
      <c r="B28" s="14" t="n">
        <v>2200000000</v>
      </c>
      <c r="C28" s="14" t="n">
        <v>39.821392</v>
      </c>
      <c r="D28" s="14" t="n">
        <v>-0.000316</v>
      </c>
      <c r="E28" s="14" t="n">
        <v>0.6087089999999999</v>
      </c>
      <c r="F28" t="n">
        <v>12.821392</v>
      </c>
      <c r="G28" t="n">
        <v>53.367602</v>
      </c>
      <c r="H28" t="n">
        <v>9.597080999999999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39.821392</v>
      </c>
      <c r="Q28" s="9" t="n">
        <v>-0.000316</v>
      </c>
      <c r="R28" s="9" t="n">
        <v>0.6087089999999999</v>
      </c>
      <c r="S28" s="9" t="n">
        <v>12.821392</v>
      </c>
      <c r="T28" s="9" t="n">
        <v>53.367602</v>
      </c>
      <c r="U28" s="9" t="n">
        <v>9.597080999999999</v>
      </c>
    </row>
    <row r="29">
      <c r="A29" s="14" t="n">
        <v>19</v>
      </c>
      <c r="B29" s="14" t="n">
        <v>2300000000</v>
      </c>
      <c r="C29" s="14" t="n">
        <v>40.023848</v>
      </c>
      <c r="D29" s="14" t="n">
        <v>-0.000309</v>
      </c>
      <c r="E29" s="14" t="n">
        <v>0.651608</v>
      </c>
      <c r="F29" t="n">
        <v>13.023848</v>
      </c>
      <c r="G29" t="n">
        <v>52.364264</v>
      </c>
      <c r="H29" t="n">
        <v>10.055064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40.023848</v>
      </c>
      <c r="Q29" s="9" t="n">
        <v>-0.000309</v>
      </c>
      <c r="R29" s="9" t="n">
        <v>0.651608</v>
      </c>
      <c r="S29" s="9" t="n">
        <v>13.023848</v>
      </c>
      <c r="T29" s="9" t="n">
        <v>52.364264</v>
      </c>
      <c r="U29" s="9" t="n">
        <v>10.055064</v>
      </c>
    </row>
    <row r="30">
      <c r="A30" s="14" t="n">
        <v>20</v>
      </c>
      <c r="B30" s="14" t="n">
        <v>2400000000</v>
      </c>
      <c r="C30" s="14" t="n">
        <v>39.888355</v>
      </c>
      <c r="D30" s="14" t="n">
        <v>-0.000218</v>
      </c>
      <c r="E30" s="14" t="n">
        <v>0.658211</v>
      </c>
      <c r="F30" t="n">
        <v>12.888355</v>
      </c>
      <c r="G30" t="n">
        <v>50.163096</v>
      </c>
      <c r="H30" t="n">
        <v>9.746203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39.888355</v>
      </c>
      <c r="Q30" s="9" t="n">
        <v>-0.000218</v>
      </c>
      <c r="R30" s="9" t="n">
        <v>0.658211</v>
      </c>
      <c r="S30" s="9" t="n">
        <v>12.888355</v>
      </c>
      <c r="T30" s="9" t="n">
        <v>50.163096</v>
      </c>
      <c r="U30" s="9" t="n">
        <v>9.746203</v>
      </c>
    </row>
    <row r="31">
      <c r="A31" s="14" t="n">
        <v>21</v>
      </c>
      <c r="B31" s="14" t="n">
        <v>2500000000</v>
      </c>
      <c r="C31" s="14" t="n">
        <v>39.711281</v>
      </c>
      <c r="D31" s="14" t="n">
        <v>-0.000325</v>
      </c>
      <c r="E31" s="14" t="n">
        <v>0.657738</v>
      </c>
      <c r="F31" t="n">
        <v>12.711281</v>
      </c>
      <c r="G31" t="n">
        <v>48.084855</v>
      </c>
      <c r="H31" t="n">
        <v>9.356814999999999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39.711281</v>
      </c>
      <c r="Q31" s="9" t="n">
        <v>-0.000325</v>
      </c>
      <c r="R31" s="9" t="n">
        <v>0.657738</v>
      </c>
      <c r="S31" s="9" t="n">
        <v>12.711281</v>
      </c>
      <c r="T31" s="9" t="n">
        <v>48.084855</v>
      </c>
      <c r="U31" s="9" t="n">
        <v>9.356814999999999</v>
      </c>
    </row>
    <row r="32">
      <c r="A32" s="14" t="n">
        <v>22</v>
      </c>
      <c r="B32" s="14" t="n">
        <v>2600000000</v>
      </c>
      <c r="C32" s="14" t="n">
        <v>39.67729</v>
      </c>
      <c r="D32" s="14" t="n">
        <v>2.4e-05</v>
      </c>
      <c r="E32" s="14" t="n">
        <v>0.65862</v>
      </c>
      <c r="F32" t="n">
        <v>12.67729</v>
      </c>
      <c r="G32" t="n">
        <v>47.624927</v>
      </c>
      <c r="H32" t="n">
        <v>9.283868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39.67729</v>
      </c>
      <c r="Q32" s="9" t="n">
        <v>2.4e-05</v>
      </c>
      <c r="R32" s="9" t="n">
        <v>0.65862</v>
      </c>
      <c r="S32" s="9" t="n">
        <v>12.67729</v>
      </c>
      <c r="T32" s="9" t="n">
        <v>47.624927</v>
      </c>
      <c r="U32" s="9" t="n">
        <v>9.283868</v>
      </c>
    </row>
    <row r="33">
      <c r="A33" s="14" t="n">
        <v>23</v>
      </c>
      <c r="B33" s="14" t="n">
        <v>2700000000</v>
      </c>
      <c r="C33" s="14" t="n">
        <v>39.680582</v>
      </c>
      <c r="D33" s="14" t="n">
        <v>-8.8e-05</v>
      </c>
      <c r="E33" s="14" t="n">
        <v>0.683783</v>
      </c>
      <c r="F33" t="n">
        <v>12.680582</v>
      </c>
      <c r="G33" t="n">
        <v>45.909095</v>
      </c>
      <c r="H33" t="n">
        <v>9.290908999999999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39.680582</v>
      </c>
      <c r="Q33" s="9" t="n">
        <v>-8.8e-05</v>
      </c>
      <c r="R33" s="9" t="n">
        <v>0.683783</v>
      </c>
      <c r="S33" s="9" t="n">
        <v>12.680582</v>
      </c>
      <c r="T33" s="9" t="n">
        <v>45.909095</v>
      </c>
      <c r="U33" s="9" t="n">
        <v>9.290908999999999</v>
      </c>
    </row>
    <row r="34">
      <c r="A34" s="14" t="n">
        <v>24</v>
      </c>
      <c r="B34" s="14" t="n">
        <v>2800000000</v>
      </c>
      <c r="C34" s="14" t="n">
        <v>39.271359</v>
      </c>
      <c r="D34" s="14" t="n">
        <v>-0.000124</v>
      </c>
      <c r="E34" s="14" t="n">
        <v>0.70134</v>
      </c>
      <c r="F34" t="n">
        <v>12.271359</v>
      </c>
      <c r="G34" t="n">
        <v>40.50533</v>
      </c>
      <c r="H34" t="n">
        <v>8.455434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39.271359</v>
      </c>
      <c r="Q34" s="9" t="n">
        <v>-0.000124</v>
      </c>
      <c r="R34" s="9" t="n">
        <v>0.70134</v>
      </c>
      <c r="S34" s="9" t="n">
        <v>12.271359</v>
      </c>
      <c r="T34" s="9" t="n">
        <v>40.50533</v>
      </c>
      <c r="U34" s="9" t="n">
        <v>8.455434</v>
      </c>
    </row>
    <row r="35">
      <c r="A35" s="14" t="n">
        <v>25</v>
      </c>
      <c r="B35" s="14" t="n">
        <v>2900000000</v>
      </c>
      <c r="C35" s="14" t="n">
        <v>39.118224</v>
      </c>
      <c r="D35" s="14" t="n">
        <v>-0.000367</v>
      </c>
      <c r="E35" s="14" t="n">
        <v>0.708811</v>
      </c>
      <c r="F35" t="n">
        <v>12.118224</v>
      </c>
      <c r="G35" t="n">
        <v>38.602367</v>
      </c>
      <c r="H35" t="n">
        <v>8.162485999999999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39.118224</v>
      </c>
      <c r="Q35" s="9" t="n">
        <v>-0.000367</v>
      </c>
      <c r="R35" s="9" t="n">
        <v>0.708811</v>
      </c>
      <c r="S35" s="9" t="n">
        <v>12.118224</v>
      </c>
      <c r="T35" s="9" t="n">
        <v>38.602367</v>
      </c>
      <c r="U35" s="9" t="n">
        <v>8.162485999999999</v>
      </c>
    </row>
    <row r="36">
      <c r="A36" s="14" t="n">
        <v>26</v>
      </c>
      <c r="B36" s="14" t="n">
        <v>3000000000</v>
      </c>
      <c r="C36" s="14" t="n">
        <v>39.160229</v>
      </c>
      <c r="D36" s="14" t="n">
        <v>-0.00014</v>
      </c>
      <c r="E36" s="14" t="n">
        <v>0.711701</v>
      </c>
      <c r="F36" t="n">
        <v>12.160229</v>
      </c>
      <c r="G36" t="n">
        <v>38.843721</v>
      </c>
      <c r="H36" t="n">
        <v>8.241816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39.160229</v>
      </c>
      <c r="Q36" s="9" t="n">
        <v>-0.00014</v>
      </c>
      <c r="R36" s="9" t="n">
        <v>0.711701</v>
      </c>
      <c r="S36" s="9" t="n">
        <v>12.160229</v>
      </c>
      <c r="T36" s="9" t="n">
        <v>38.843721</v>
      </c>
      <c r="U36" s="9" t="n">
        <v>8.241816</v>
      </c>
    </row>
    <row r="37">
      <c r="A37" s="14" t="n">
        <v>27</v>
      </c>
      <c r="B37" s="14" t="n">
        <v>3100000000</v>
      </c>
      <c r="C37" s="14" t="n">
        <v>38.924949</v>
      </c>
      <c r="D37" s="14" t="n">
        <v>7.6e-05</v>
      </c>
      <c r="E37" s="14" t="n">
        <v>0.733935</v>
      </c>
      <c r="F37" t="n">
        <v>11.924949</v>
      </c>
      <c r="G37" t="n">
        <v>35.552009</v>
      </c>
      <c r="H37" t="n">
        <v>7.807193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38.924949</v>
      </c>
      <c r="Q37" s="9" t="n">
        <v>7.6e-05</v>
      </c>
      <c r="R37" s="9" t="n">
        <v>0.733935</v>
      </c>
      <c r="S37" s="9" t="n">
        <v>11.924949</v>
      </c>
      <c r="T37" s="9" t="n">
        <v>35.552009</v>
      </c>
      <c r="U37" s="9" t="n">
        <v>7.807193</v>
      </c>
    </row>
    <row r="38">
      <c r="A38" s="14" t="n">
        <v>28</v>
      </c>
      <c r="B38" s="14" t="n">
        <v>3200000000</v>
      </c>
      <c r="C38" s="14" t="n">
        <v>38.926094</v>
      </c>
      <c r="D38" s="14" t="n">
        <v>-1.3e-05</v>
      </c>
      <c r="E38" s="14" t="n">
        <v>0.753847</v>
      </c>
      <c r="F38" t="n">
        <v>11.926094</v>
      </c>
      <c r="G38" t="n">
        <v>34.622693</v>
      </c>
      <c r="H38" t="n">
        <v>7.809251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38.926094</v>
      </c>
      <c r="Q38" s="9" t="n">
        <v>-1.3e-05</v>
      </c>
      <c r="R38" s="9" t="n">
        <v>0.753847</v>
      </c>
      <c r="S38" s="9" t="n">
        <v>11.926094</v>
      </c>
      <c r="T38" s="9" t="n">
        <v>34.622693</v>
      </c>
      <c r="U38" s="9" t="n">
        <v>7.809251</v>
      </c>
    </row>
    <row r="39">
      <c r="A39" s="14" t="n">
        <v>29</v>
      </c>
      <c r="B39" s="14" t="n">
        <v>3300000000</v>
      </c>
      <c r="C39" s="14" t="n">
        <v>38.81021</v>
      </c>
      <c r="D39" s="14" t="n">
        <v>-0.000355</v>
      </c>
      <c r="E39" s="14" t="n">
        <v>0.746496</v>
      </c>
      <c r="F39" t="n">
        <v>11.81021</v>
      </c>
      <c r="G39" t="n">
        <v>33.979897</v>
      </c>
      <c r="H39" t="n">
        <v>7.603631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38.81021</v>
      </c>
      <c r="Q39" s="9" t="n">
        <v>-0.000355</v>
      </c>
      <c r="R39" s="9" t="n">
        <v>0.746496</v>
      </c>
      <c r="S39" s="9" t="n">
        <v>11.81021</v>
      </c>
      <c r="T39" s="9" t="n">
        <v>33.979897</v>
      </c>
      <c r="U39" s="9" t="n">
        <v>7.603631</v>
      </c>
    </row>
    <row r="40">
      <c r="A40" s="14" t="n">
        <v>30</v>
      </c>
      <c r="B40" s="14" t="n">
        <v>3400000000</v>
      </c>
      <c r="C40" s="14" t="n">
        <v>38.516855</v>
      </c>
      <c r="D40" s="14" t="n">
        <v>-2.3e-05</v>
      </c>
      <c r="E40" s="14" t="n">
        <v>0.758794</v>
      </c>
      <c r="F40" t="n">
        <v>11.516855</v>
      </c>
      <c r="G40" t="n">
        <v>31.091606</v>
      </c>
      <c r="H40" t="n">
        <v>7.106986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38.516855</v>
      </c>
      <c r="Q40" s="9" t="n">
        <v>-2.3e-05</v>
      </c>
      <c r="R40" s="9" t="n">
        <v>0.758794</v>
      </c>
      <c r="S40" s="9" t="n">
        <v>11.516855</v>
      </c>
      <c r="T40" s="9" t="n">
        <v>31.091606</v>
      </c>
      <c r="U40" s="9" t="n">
        <v>7.106986</v>
      </c>
    </row>
    <row r="41">
      <c r="A41" s="14" t="n">
        <v>31</v>
      </c>
      <c r="B41" s="14" t="n">
        <v>3500000000</v>
      </c>
      <c r="C41" s="14" t="n">
        <v>38.379342</v>
      </c>
      <c r="D41" s="14" t="n">
        <v>-0.000496</v>
      </c>
      <c r="E41" s="14" t="n">
        <v>0.777092</v>
      </c>
      <c r="F41" t="n">
        <v>11.379342</v>
      </c>
      <c r="G41" t="n">
        <v>29.341486</v>
      </c>
      <c r="H41" t="n">
        <v>6.88548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38.379342</v>
      </c>
      <c r="Q41" s="9" t="n">
        <v>-0.000496</v>
      </c>
      <c r="R41" s="9" t="n">
        <v>0.777092</v>
      </c>
      <c r="S41" s="9" t="n">
        <v>11.379342</v>
      </c>
      <c r="T41" s="9" t="n">
        <v>29.341486</v>
      </c>
      <c r="U41" s="9" t="n">
        <v>6.88548</v>
      </c>
    </row>
    <row r="42">
      <c r="A42" s="14" t="n">
        <v>32</v>
      </c>
      <c r="B42" s="14" t="n">
        <v>3600000000</v>
      </c>
      <c r="C42" s="14" t="n">
        <v>38.422682</v>
      </c>
      <c r="D42" s="14" t="n">
        <v>9.8e-05</v>
      </c>
      <c r="E42" s="14" t="n">
        <v>0.777909</v>
      </c>
      <c r="F42" t="n">
        <v>11.422682</v>
      </c>
      <c r="G42" t="n">
        <v>29.627735</v>
      </c>
      <c r="H42" t="n">
        <v>6.954537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38.422682</v>
      </c>
      <c r="Q42" s="9" t="n">
        <v>9.8e-05</v>
      </c>
      <c r="R42" s="9" t="n">
        <v>0.777909</v>
      </c>
      <c r="S42" s="9" t="n">
        <v>11.422682</v>
      </c>
      <c r="T42" s="9" t="n">
        <v>29.627735</v>
      </c>
      <c r="U42" s="9" t="n">
        <v>6.954537</v>
      </c>
    </row>
    <row r="43">
      <c r="A43" s="14" t="n">
        <v>33</v>
      </c>
      <c r="B43" s="14" t="n">
        <v>3700000000</v>
      </c>
      <c r="C43" s="14" t="n">
        <v>38.630037</v>
      </c>
      <c r="D43" s="14" t="n">
        <v>0.000406</v>
      </c>
      <c r="E43" s="14" t="n">
        <v>0.771674</v>
      </c>
      <c r="F43" t="n">
        <v>11.630037</v>
      </c>
      <c r="G43" t="n">
        <v>31.441161</v>
      </c>
      <c r="H43" t="n">
        <v>7.294637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38.630037</v>
      </c>
      <c r="Q43" s="9" t="n">
        <v>0.000406</v>
      </c>
      <c r="R43" s="9" t="n">
        <v>0.771674</v>
      </c>
      <c r="S43" s="9" t="n">
        <v>11.630037</v>
      </c>
      <c r="T43" s="9" t="n">
        <v>31.441161</v>
      </c>
      <c r="U43" s="9" t="n">
        <v>7.294637</v>
      </c>
    </row>
    <row r="44">
      <c r="A44" s="14" t="n">
        <v>34</v>
      </c>
      <c r="B44" s="14" t="n">
        <v>3800000000</v>
      </c>
      <c r="C44" s="14" t="n">
        <v>38.663693</v>
      </c>
      <c r="D44" s="14" t="n">
        <v>-2.3e-05</v>
      </c>
      <c r="E44" s="14" t="n">
        <v>0.779159</v>
      </c>
      <c r="F44" t="n">
        <v>11.663693</v>
      </c>
      <c r="G44" t="n">
        <v>31.39923</v>
      </c>
      <c r="H44" t="n">
        <v>7.351388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38.663693</v>
      </c>
      <c r="Q44" s="9" t="n">
        <v>-2.3e-05</v>
      </c>
      <c r="R44" s="9" t="n">
        <v>0.779159</v>
      </c>
      <c r="S44" s="9" t="n">
        <v>11.663693</v>
      </c>
      <c r="T44" s="9" t="n">
        <v>31.39923</v>
      </c>
      <c r="U44" s="9" t="n">
        <v>7.351388</v>
      </c>
    </row>
    <row r="45">
      <c r="A45" s="14" t="n">
        <v>35</v>
      </c>
      <c r="B45" s="14" t="n">
        <v>3900000000</v>
      </c>
      <c r="C45" s="14" t="n">
        <v>38.759873</v>
      </c>
      <c r="D45" s="14" t="n">
        <v>-0.000353</v>
      </c>
      <c r="E45" s="14" t="n">
        <v>0.761314</v>
      </c>
      <c r="F45" t="n">
        <v>11.759873</v>
      </c>
      <c r="G45" t="n">
        <v>32.907506</v>
      </c>
      <c r="H45" t="n">
        <v>7.516009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38.759873</v>
      </c>
      <c r="Q45" s="9" t="n">
        <v>-0.000353</v>
      </c>
      <c r="R45" s="9" t="n">
        <v>0.761314</v>
      </c>
      <c r="S45" s="9" t="n">
        <v>11.759873</v>
      </c>
      <c r="T45" s="9" t="n">
        <v>32.907506</v>
      </c>
      <c r="U45" s="9" t="n">
        <v>7.516009</v>
      </c>
    </row>
    <row r="46">
      <c r="A46" s="14" t="n">
        <v>36</v>
      </c>
      <c r="B46" s="14" t="n">
        <v>4000000000</v>
      </c>
      <c r="C46" s="14" t="n">
        <v>38.588967</v>
      </c>
      <c r="D46" s="14" t="n">
        <v>0.000342</v>
      </c>
      <c r="E46" s="14" t="n">
        <v>0.763505</v>
      </c>
      <c r="F46" t="n">
        <v>11.588967</v>
      </c>
      <c r="G46" t="n">
        <v>31.456411</v>
      </c>
      <c r="H46" t="n">
        <v>7.225979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38.588967</v>
      </c>
      <c r="Q46" s="9" t="n">
        <v>0.000342</v>
      </c>
      <c r="R46" s="9" t="n">
        <v>0.763505</v>
      </c>
      <c r="S46" s="9" t="n">
        <v>11.588967</v>
      </c>
      <c r="T46" s="9" t="n">
        <v>31.456411</v>
      </c>
      <c r="U46" s="9" t="n">
        <v>7.225979</v>
      </c>
    </row>
    <row r="47">
      <c r="A47" s="14" t="n"/>
      <c r="B47" s="14" t="n"/>
      <c r="C47" s="14" t="n"/>
      <c r="D47" s="14" t="n"/>
      <c r="E47" s="14" t="n"/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 t="n"/>
      <c r="Q47" s="9" t="n"/>
      <c r="R47" s="9" t="n"/>
      <c r="S47" s="9" t="n"/>
      <c r="T47" s="9" t="n"/>
      <c r="U47" s="9" t="n"/>
    </row>
    <row r="48">
      <c r="A48" s="14" t="n"/>
      <c r="B48" s="14" t="n"/>
      <c r="C48" s="14" t="n"/>
      <c r="D48" s="14" t="n"/>
      <c r="E48" s="14" t="n"/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 t="n"/>
      <c r="Q48" s="9" t="n"/>
      <c r="R48" s="9" t="n"/>
      <c r="S48" s="9" t="n"/>
      <c r="T48" s="9" t="n"/>
      <c r="U48" s="9" t="n"/>
    </row>
    <row r="49">
      <c r="A49" s="14" t="n"/>
      <c r="B49" s="14" t="n"/>
      <c r="C49" s="14" t="n"/>
      <c r="D49" s="14" t="n"/>
      <c r="E49" s="14" t="n"/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 t="n"/>
      <c r="Q49" s="9" t="n"/>
      <c r="R49" s="9" t="n"/>
      <c r="S49" s="9" t="n"/>
      <c r="T49" s="9" t="n"/>
      <c r="U49" s="9" t="n"/>
    </row>
    <row r="50">
      <c r="A50" s="14" t="n"/>
      <c r="B50" s="14" t="n"/>
      <c r="C50" s="14" t="n"/>
      <c r="D50" s="14" t="n"/>
      <c r="E50" s="14" t="n"/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 t="n"/>
      <c r="Q50" s="9" t="n"/>
      <c r="R50" s="9" t="n"/>
      <c r="S50" s="9" t="n"/>
      <c r="T50" s="9" t="n"/>
      <c r="U50" s="9" t="n"/>
    </row>
    <row r="51">
      <c r="A51" s="14" t="n"/>
      <c r="B51" s="14" t="n"/>
      <c r="C51" s="14" t="n"/>
      <c r="D51" s="14" t="n"/>
      <c r="E51" s="14" t="n"/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 t="n"/>
      <c r="Q51" s="9" t="n"/>
      <c r="R51" s="9" t="n"/>
      <c r="S51" s="9" t="n"/>
      <c r="T51" s="9" t="n"/>
      <c r="U51" s="9" t="n"/>
    </row>
    <row r="52">
      <c r="A52" s="14" t="n"/>
      <c r="B52" s="14" t="n"/>
      <c r="C52" s="14" t="n"/>
      <c r="D52" s="14" t="n"/>
      <c r="E52" s="14" t="n"/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 t="n"/>
      <c r="Q52" s="9" t="n"/>
      <c r="R52" s="9" t="n"/>
      <c r="S52" s="9" t="n"/>
      <c r="T52" s="9" t="n"/>
      <c r="U52" s="9" t="n"/>
    </row>
    <row r="53">
      <c r="A53" s="14" t="n"/>
      <c r="B53" s="14" t="n"/>
      <c r="C53" s="14" t="n"/>
      <c r="D53" s="14" t="n"/>
      <c r="E53" s="14" t="n"/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 t="n"/>
      <c r="Q53" s="9" t="n"/>
      <c r="R53" s="9" t="n"/>
      <c r="S53" s="9" t="n"/>
      <c r="T53" s="9" t="n"/>
      <c r="U53" s="9" t="n"/>
    </row>
    <row r="54">
      <c r="A54" s="14" t="n"/>
      <c r="B54" s="14" t="n"/>
      <c r="C54" s="14" t="n"/>
      <c r="D54" s="14" t="n"/>
      <c r="E54" s="14" t="n"/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 t="n"/>
      <c r="Q54" s="9" t="n"/>
      <c r="R54" s="9" t="n"/>
      <c r="S54" s="9" t="n"/>
      <c r="T54" s="9" t="n"/>
      <c r="U54" s="9" t="n"/>
    </row>
    <row r="55">
      <c r="A55" s="14" t="n"/>
      <c r="B55" s="14" t="n"/>
      <c r="C55" s="14" t="n"/>
      <c r="D55" s="14" t="n"/>
      <c r="E55" s="14" t="n"/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 t="n"/>
      <c r="Q55" s="9" t="n"/>
      <c r="R55" s="9" t="n"/>
      <c r="S55" s="9" t="n"/>
      <c r="T55" s="9" t="n"/>
      <c r="U55" s="9" t="n"/>
    </row>
    <row r="56">
      <c r="A56" s="14" t="n"/>
      <c r="B56" s="14" t="n"/>
      <c r="C56" s="14" t="n"/>
      <c r="D56" s="14" t="n"/>
      <c r="E56" s="14" t="n"/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 t="n"/>
      <c r="Q56" s="9" t="n"/>
      <c r="R56" s="9" t="n"/>
      <c r="S56" s="9" t="n"/>
      <c r="T56" s="9" t="n"/>
      <c r="U56" s="9" t="n"/>
    </row>
    <row r="57">
      <c r="A57" s="14" t="n"/>
      <c r="B57" s="14" t="n"/>
      <c r="C57" s="14" t="n"/>
      <c r="D57" s="14" t="n"/>
      <c r="E57" s="14" t="n"/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 t="n"/>
      <c r="Q57" s="9" t="n"/>
      <c r="R57" s="9" t="n"/>
      <c r="S57" s="9" t="n"/>
      <c r="T57" s="9" t="n"/>
      <c r="U57" s="9" t="n"/>
    </row>
    <row r="58">
      <c r="A58" s="14" t="n"/>
      <c r="B58" s="14" t="n"/>
      <c r="C58" s="14" t="n"/>
      <c r="D58" s="14" t="n"/>
      <c r="E58" s="14" t="n"/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 t="n"/>
      <c r="Q58" s="9" t="n"/>
      <c r="R58" s="9" t="n"/>
      <c r="S58" s="9" t="n"/>
      <c r="T58" s="9" t="n"/>
      <c r="U58" s="9" t="n"/>
    </row>
    <row r="59">
      <c r="A59" s="14" t="n"/>
      <c r="B59" s="14" t="n"/>
      <c r="C59" s="14" t="n"/>
      <c r="D59" s="14" t="n"/>
      <c r="E59" s="14" t="n"/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 t="n"/>
      <c r="Q59" s="9" t="n"/>
      <c r="R59" s="9" t="n"/>
      <c r="S59" s="9" t="n"/>
      <c r="T59" s="9" t="n"/>
      <c r="U59" s="9" t="n"/>
    </row>
    <row r="60">
      <c r="A60" s="14" t="n"/>
      <c r="B60" s="14" t="n"/>
      <c r="C60" s="14" t="n"/>
      <c r="D60" s="14" t="n"/>
      <c r="E60" s="14" t="n"/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 t="n"/>
      <c r="Q60" s="9" t="n"/>
      <c r="R60" s="9" t="n"/>
      <c r="S60" s="9" t="n"/>
      <c r="T60" s="9" t="n"/>
      <c r="U60" s="9" t="n"/>
    </row>
    <row r="61">
      <c r="A61" s="14" t="n"/>
      <c r="B61" s="14" t="n"/>
      <c r="C61" s="14" t="n"/>
      <c r="D61" s="14" t="n"/>
      <c r="E61" s="14" t="n"/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 t="n"/>
      <c r="Q61" s="9" t="n"/>
      <c r="R61" s="9" t="n"/>
      <c r="S61" s="9" t="n"/>
      <c r="T61" s="9" t="n"/>
      <c r="U61" s="9" t="n"/>
    </row>
    <row r="62">
      <c r="A62" s="14" t="n"/>
      <c r="B62" s="14" t="n"/>
      <c r="C62" s="14" t="n"/>
      <c r="D62" s="14" t="n"/>
      <c r="E62" s="14" t="n"/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 t="n"/>
      <c r="Q62" s="9" t="n"/>
      <c r="R62" s="9" t="n"/>
      <c r="S62" s="9" t="n"/>
      <c r="T62" s="9" t="n"/>
      <c r="U62" s="9" t="n"/>
    </row>
    <row r="63">
      <c r="A63" s="14" t="n"/>
      <c r="B63" s="14" t="n"/>
      <c r="C63" s="14" t="n"/>
      <c r="D63" s="14" t="n"/>
      <c r="E63" s="14" t="n"/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 t="n"/>
      <c r="Q63" s="9" t="n"/>
      <c r="R63" s="9" t="n"/>
      <c r="S63" s="9" t="n"/>
      <c r="T63" s="9" t="n"/>
      <c r="U63" s="9" t="n"/>
    </row>
    <row r="64">
      <c r="A64" s="14" t="n"/>
      <c r="B64" s="14" t="n"/>
      <c r="C64" s="14" t="n"/>
      <c r="D64" s="14" t="n"/>
      <c r="E64" s="14" t="n"/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 t="n"/>
      <c r="Q64" s="9" t="n"/>
      <c r="R64" s="9" t="n"/>
      <c r="S64" s="9" t="n"/>
      <c r="T64" s="9" t="n"/>
      <c r="U64" s="9" t="n"/>
    </row>
    <row r="65">
      <c r="A65" s="14" t="n"/>
      <c r="B65" s="14" t="n"/>
      <c r="C65" s="14" t="n"/>
      <c r="D65" s="14" t="n"/>
      <c r="E65" s="14" t="n"/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 t="n"/>
      <c r="Q65" s="9" t="n"/>
      <c r="R65" s="9" t="n"/>
      <c r="S65" s="9" t="n"/>
      <c r="T65" s="9" t="n"/>
      <c r="U65" s="9" t="n"/>
    </row>
    <row r="66">
      <c r="A66" s="14" t="n"/>
      <c r="B66" s="14" t="n"/>
      <c r="C66" s="14" t="n"/>
      <c r="D66" s="14" t="n"/>
      <c r="E66" s="14" t="n"/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 t="n"/>
      <c r="Q66" s="9" t="n"/>
      <c r="R66" s="9" t="n"/>
      <c r="S66" s="9" t="n"/>
      <c r="T66" s="9" t="n"/>
      <c r="U66" s="9" t="n"/>
    </row>
    <row r="67">
      <c r="A67" s="14" t="n"/>
      <c r="B67" s="14" t="n"/>
      <c r="C67" s="14" t="n"/>
      <c r="D67" s="14" t="n"/>
      <c r="E67" s="14" t="n"/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 t="n"/>
      <c r="Q67" s="9" t="n"/>
      <c r="R67" s="9" t="n"/>
      <c r="S67" s="9" t="n"/>
      <c r="T67" s="9" t="n"/>
      <c r="U67" s="9" t="n"/>
    </row>
    <row r="68">
      <c r="A68" s="14" t="n"/>
      <c r="B68" s="14" t="n"/>
      <c r="C68" s="14" t="n"/>
      <c r="D68" s="14" t="n"/>
      <c r="E68" s="14" t="n"/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 t="n"/>
      <c r="Q68" s="9" t="n"/>
      <c r="R68" s="9" t="n"/>
      <c r="S68" s="9" t="n"/>
      <c r="T68" s="9" t="n"/>
      <c r="U68" s="9" t="n"/>
    </row>
    <row r="69">
      <c r="A69" s="14" t="n"/>
      <c r="B69" s="14" t="n"/>
      <c r="C69" s="14" t="n"/>
      <c r="D69" s="14" t="n"/>
      <c r="E69" s="14" t="n"/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 t="n"/>
      <c r="Q69" s="9" t="n"/>
      <c r="R69" s="9" t="n"/>
      <c r="S69" s="9" t="n"/>
      <c r="T69" s="9" t="n"/>
      <c r="U69" s="9" t="n"/>
    </row>
    <row r="70">
      <c r="A70" s="14" t="n"/>
      <c r="B70" s="14" t="n"/>
      <c r="C70" s="14" t="n"/>
      <c r="D70" s="14" t="n"/>
      <c r="E70" s="14" t="n"/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 t="n"/>
      <c r="Q70" s="9" t="n"/>
      <c r="R70" s="9" t="n"/>
      <c r="S70" s="9" t="n"/>
      <c r="T70" s="9" t="n"/>
      <c r="U70" s="9" t="n"/>
    </row>
    <row r="71">
      <c r="A71" s="14" t="n"/>
      <c r="B71" s="14" t="n"/>
      <c r="C71" s="14" t="n"/>
      <c r="D71" s="14" t="n"/>
      <c r="E71" s="14" t="n"/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 t="n"/>
      <c r="Q71" s="9" t="n"/>
      <c r="R71" s="9" t="n"/>
      <c r="S71" s="9" t="n"/>
      <c r="T71" s="9" t="n"/>
      <c r="U71" s="9" t="n"/>
    </row>
    <row r="72">
      <c r="A72" s="14" t="n"/>
      <c r="B72" s="14" t="n"/>
      <c r="C72" s="14" t="n"/>
      <c r="D72" s="14" t="n"/>
      <c r="E72" s="14" t="n"/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 t="n"/>
      <c r="Q72" s="9" t="n"/>
      <c r="R72" s="9" t="n"/>
      <c r="S72" s="9" t="n"/>
      <c r="T72" s="9" t="n"/>
      <c r="U72" s="9" t="n"/>
    </row>
    <row r="73">
      <c r="A73" s="14" t="n"/>
      <c r="B73" s="14" t="n"/>
      <c r="C73" s="14" t="n"/>
      <c r="D73" s="14" t="n"/>
      <c r="E73" s="14" t="n"/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 t="n"/>
      <c r="Q73" s="9" t="n"/>
      <c r="R73" s="9" t="n"/>
      <c r="S73" s="9" t="n"/>
      <c r="T73" s="9" t="n"/>
      <c r="U73" s="9" t="n"/>
    </row>
    <row r="74">
      <c r="A74" s="14" t="n"/>
      <c r="B74" s="14" t="n"/>
      <c r="C74" s="14" t="n"/>
      <c r="D74" s="14" t="n"/>
      <c r="E74" s="14" t="n"/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 t="n"/>
      <c r="Q74" s="9" t="n"/>
      <c r="R74" s="9" t="n"/>
      <c r="S74" s="9" t="n"/>
      <c r="T74" s="9" t="n"/>
      <c r="U74" s="9" t="n"/>
    </row>
    <row r="75">
      <c r="A75" s="14" t="n"/>
      <c r="B75" s="14" t="n"/>
      <c r="C75" s="14" t="n"/>
      <c r="D75" s="14" t="n"/>
      <c r="E75" s="14" t="n"/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 t="n"/>
      <c r="Q75" s="9" t="n"/>
      <c r="R75" s="9" t="n"/>
      <c r="S75" s="9" t="n"/>
      <c r="T75" s="9" t="n"/>
      <c r="U75" s="9" t="n"/>
    </row>
    <row r="76">
      <c r="A76" s="14" t="n"/>
      <c r="B76" s="14" t="n"/>
      <c r="C76" s="14" t="n"/>
      <c r="D76" s="14" t="n"/>
      <c r="E76" s="14" t="n"/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 t="n"/>
      <c r="Q76" s="9" t="n"/>
      <c r="R76" s="9" t="n"/>
      <c r="S76" s="9" t="n"/>
      <c r="T76" s="9" t="n"/>
      <c r="U76" s="9" t="n"/>
    </row>
    <row r="77">
      <c r="A77" s="14" t="n"/>
      <c r="B77" s="14" t="n"/>
      <c r="C77" s="14" t="n"/>
      <c r="D77" s="14" t="n"/>
      <c r="E77" s="14" t="n"/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 t="n"/>
      <c r="Q77" s="9" t="n"/>
      <c r="R77" s="9" t="n"/>
      <c r="S77" s="9" t="n"/>
      <c r="T77" s="9" t="n"/>
      <c r="U77" s="9" t="n"/>
    </row>
    <row r="78">
      <c r="A78" s="14" t="n"/>
      <c r="B78" s="14" t="n"/>
      <c r="C78" s="14" t="n"/>
      <c r="D78" s="14" t="n"/>
      <c r="E78" s="14" t="n"/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 t="n"/>
      <c r="Q78" s="9" t="n"/>
      <c r="R78" s="9" t="n"/>
      <c r="S78" s="9" t="n"/>
      <c r="T78" s="9" t="n"/>
      <c r="U78" s="9" t="n"/>
    </row>
    <row r="79">
      <c r="A79" s="14" t="n"/>
      <c r="B79" s="14" t="n"/>
      <c r="C79" s="14" t="n"/>
      <c r="D79" s="14" t="n"/>
      <c r="E79" s="14" t="n"/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 t="n"/>
      <c r="Q79" s="9" t="n"/>
      <c r="R79" s="9" t="n"/>
      <c r="S79" s="9" t="n"/>
      <c r="T79" s="9" t="n"/>
      <c r="U79" s="9" t="n"/>
    </row>
    <row r="80">
      <c r="A80" s="14" t="n"/>
      <c r="B80" s="14" t="n"/>
      <c r="C80" s="14" t="n"/>
      <c r="D80" s="14" t="n"/>
      <c r="E80" s="14" t="n"/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 t="n"/>
      <c r="Q80" s="9" t="n"/>
      <c r="R80" s="9" t="n"/>
      <c r="S80" s="9" t="n"/>
      <c r="T80" s="9" t="n"/>
      <c r="U80" s="9" t="n"/>
    </row>
    <row r="81">
      <c r="A81" s="14" t="n"/>
      <c r="B81" s="14" t="n"/>
      <c r="C81" s="14" t="n"/>
      <c r="D81" s="14" t="n"/>
      <c r="E81" s="14" t="n"/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 t="n"/>
      <c r="Q81" s="9" t="n"/>
      <c r="R81" s="9" t="n"/>
      <c r="S81" s="9" t="n"/>
      <c r="T81" s="9" t="n"/>
      <c r="U81" s="9" t="n"/>
    </row>
    <row r="82">
      <c r="A82" s="14" t="n"/>
      <c r="B82" s="14" t="n"/>
      <c r="C82" s="14" t="n"/>
      <c r="D82" s="14" t="n"/>
      <c r="E82" s="14" t="n"/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 t="n"/>
      <c r="Q82" s="9" t="n"/>
      <c r="R82" s="9" t="n"/>
      <c r="S82" s="9" t="n"/>
      <c r="T82" s="9" t="n"/>
      <c r="U82" s="9" t="n"/>
    </row>
    <row r="83">
      <c r="A83" s="14" t="n"/>
      <c r="B83" s="14" t="n"/>
      <c r="C83" s="14" t="n"/>
      <c r="D83" s="14" t="n"/>
      <c r="E83" s="14" t="n"/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 t="n"/>
      <c r="Q83" s="9" t="n"/>
      <c r="R83" s="9" t="n"/>
      <c r="S83" s="9" t="n"/>
      <c r="T83" s="9" t="n"/>
      <c r="U83" s="9" t="n"/>
    </row>
    <row r="84">
      <c r="A84" s="14" t="n"/>
      <c r="B84" s="14" t="n"/>
      <c r="C84" s="14" t="n"/>
      <c r="D84" s="14" t="n"/>
      <c r="E84" s="14" t="n"/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 t="n"/>
      <c r="Q84" s="9" t="n"/>
      <c r="R84" s="9" t="n"/>
      <c r="S84" s="9" t="n"/>
      <c r="T84" s="9" t="n"/>
      <c r="U84" s="9" t="n"/>
    </row>
    <row r="85">
      <c r="A85" s="14" t="n"/>
      <c r="B85" s="14" t="n"/>
      <c r="C85" s="14" t="n"/>
      <c r="D85" s="14" t="n"/>
      <c r="E85" s="14" t="n"/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 t="n"/>
      <c r="Q85" s="9" t="n"/>
      <c r="R85" s="9" t="n"/>
      <c r="S85" s="9" t="n"/>
      <c r="T85" s="9" t="n"/>
      <c r="U85" s="9" t="n"/>
    </row>
    <row r="86">
      <c r="A86" s="14" t="n"/>
      <c r="B86" s="14" t="n"/>
      <c r="C86" s="14" t="n"/>
      <c r="D86" s="14" t="n"/>
      <c r="E86" s="14" t="n"/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 t="n"/>
      <c r="Q86" s="9" t="n"/>
      <c r="R86" s="9" t="n"/>
      <c r="S86" s="9" t="n"/>
      <c r="T86" s="9" t="n"/>
      <c r="U86" s="9" t="n"/>
    </row>
    <row r="87">
      <c r="A87" s="14" t="n"/>
      <c r="B87" s="14" t="n"/>
      <c r="C87" s="14" t="n"/>
      <c r="D87" s="14" t="n"/>
      <c r="E87" s="14" t="n"/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 t="n"/>
      <c r="Q87" s="9" t="n"/>
      <c r="R87" s="9" t="n"/>
      <c r="S87" s="9" t="n"/>
      <c r="T87" s="9" t="n"/>
      <c r="U87" s="9" t="n"/>
    </row>
    <row r="88">
      <c r="A88" s="14" t="n"/>
      <c r="B88" s="14" t="n"/>
      <c r="C88" s="14" t="n"/>
      <c r="D88" s="14" t="n"/>
      <c r="E88" s="14" t="n"/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 t="n"/>
      <c r="Q88" s="9" t="n"/>
      <c r="R88" s="9" t="n"/>
      <c r="S88" s="9" t="n"/>
      <c r="T88" s="9" t="n"/>
      <c r="U88" s="9" t="n"/>
    </row>
    <row r="89">
      <c r="A89" s="14" t="n"/>
      <c r="B89" s="14" t="n"/>
      <c r="C89" s="14" t="n"/>
      <c r="D89" s="14" t="n"/>
      <c r="E89" s="14" t="n"/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 t="n"/>
      <c r="Q89" s="9" t="n"/>
      <c r="R89" s="9" t="n"/>
      <c r="S89" s="9" t="n"/>
      <c r="T89" s="9" t="n"/>
      <c r="U89" s="9" t="n"/>
    </row>
    <row r="90">
      <c r="A90" s="14" t="n"/>
      <c r="B90" s="14" t="n"/>
      <c r="C90" s="14" t="n"/>
      <c r="D90" s="14" t="n"/>
      <c r="E90" s="14" t="n"/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 t="n"/>
      <c r="Q90" s="9" t="n"/>
      <c r="R90" s="9" t="n"/>
      <c r="S90" s="9" t="n"/>
      <c r="T90" s="9" t="n"/>
      <c r="U90" s="9" t="n"/>
    </row>
    <row r="91">
      <c r="A91" s="14" t="n"/>
      <c r="B91" s="14" t="n"/>
      <c r="C91" s="14" t="n"/>
      <c r="D91" s="14" t="n"/>
      <c r="E91" s="14" t="n"/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 t="n"/>
      <c r="Q91" s="9" t="n"/>
      <c r="R91" s="9" t="n"/>
      <c r="S91" s="9" t="n"/>
      <c r="T91" s="9" t="n"/>
      <c r="U91" s="9" t="n"/>
    </row>
    <row r="92">
      <c r="A92" s="14" t="n"/>
      <c r="B92" s="14" t="n"/>
      <c r="C92" s="14" t="n"/>
      <c r="D92" s="14" t="n"/>
      <c r="E92" s="14" t="n"/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 t="n"/>
      <c r="Q92" s="9" t="n"/>
      <c r="R92" s="9" t="n"/>
      <c r="S92" s="9" t="n"/>
      <c r="T92" s="9" t="n"/>
      <c r="U92" s="9" t="n"/>
    </row>
    <row r="93">
      <c r="A93" s="14" t="n"/>
      <c r="B93" s="14" t="n"/>
      <c r="C93" s="14" t="n"/>
      <c r="D93" s="14" t="n"/>
      <c r="E93" s="14" t="n"/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 t="n"/>
      <c r="Q93" s="9" t="n"/>
      <c r="R93" s="9" t="n"/>
      <c r="S93" s="9" t="n"/>
      <c r="T93" s="9" t="n"/>
      <c r="U93" s="9" t="n"/>
    </row>
    <row r="94">
      <c r="A94" s="14" t="n"/>
      <c r="B94" s="14" t="n"/>
      <c r="C94" s="14" t="n"/>
      <c r="D94" s="14" t="n"/>
      <c r="E94" s="14" t="n"/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 t="n"/>
      <c r="Q94" s="9" t="n"/>
      <c r="R94" s="9" t="n"/>
      <c r="S94" s="9" t="n"/>
      <c r="T94" s="9" t="n"/>
      <c r="U94" s="9" t="n"/>
    </row>
    <row r="95">
      <c r="A95" s="14" t="n"/>
      <c r="B95" s="14" t="n"/>
      <c r="C95" s="14" t="n"/>
      <c r="D95" s="14" t="n"/>
      <c r="E95" s="14" t="n"/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 t="n"/>
      <c r="Q95" s="9" t="n"/>
      <c r="R95" s="9" t="n"/>
      <c r="S95" s="9" t="n"/>
      <c r="T95" s="9" t="n"/>
      <c r="U95" s="9" t="n"/>
    </row>
    <row r="96">
      <c r="A96" s="14" t="n"/>
      <c r="B96" s="14" t="n"/>
      <c r="C96" s="14" t="n"/>
      <c r="D96" s="14" t="n"/>
      <c r="E96" s="14" t="n"/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 t="n"/>
      <c r="Q96" s="9" t="n"/>
      <c r="R96" s="9" t="n"/>
      <c r="S96" s="9" t="n"/>
      <c r="T96" s="9" t="n"/>
      <c r="U96" s="9" t="n"/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ICV_63</dc:creator>
  <dcterms:created xsi:type="dcterms:W3CDTF">2015-06-05T18:19:34Z</dcterms:created>
  <dcterms:modified xsi:type="dcterms:W3CDTF">2026-05-05T14:00:05Z</dcterms:modified>
  <cp:lastModifiedBy>Microsoft Office User</cp:lastModifiedBy>
  <cp:lastPrinted>2025-09-05T07:58:49Z</cp:lastPrinted>
</cp:coreProperties>
</file>